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Users\José Polho\iCloudDrive2\iCloudDrive\Gestao de compras\cowork\contentores\"/>
    </mc:Choice>
  </mc:AlternateContent>
  <xr:revisionPtr revIDLastSave="0" documentId="13_ncr:1_{DF398E94-2485-4CDF-A16B-E0B280425E26}" xr6:coauthVersionLast="47" xr6:coauthVersionMax="47" xr10:uidLastSave="{00000000-0000-0000-0000-000000000000}"/>
  <bookViews>
    <workbookView xWindow="-28920" yWindow="2325" windowWidth="29040" windowHeight="15720" firstSheet="2" activeTab="2" xr2:uid="{932CD236-D129-441F-BCD4-FAC853A5E9F7}"/>
  </bookViews>
  <sheets>
    <sheet name="valores" sheetId="268" r:id="rId1"/>
    <sheet name="RESUMO" sheetId="2" r:id="rId2"/>
    <sheet name="Fornecedores_Contentores" sheetId="5" r:id="rId3"/>
    <sheet name="ONEU6060805" sheetId="269" r:id="rId4"/>
    <sheet name="TCNU5901856" sheetId="267" r:id="rId5"/>
    <sheet name="ONEU1030860" sheetId="266" r:id="rId6"/>
    <sheet name="TRHU4608301" sheetId="265" r:id="rId7"/>
    <sheet name="NYKU0846132" sheetId="264" r:id="rId8"/>
    <sheet name="FCIU3873512" sheetId="263" r:id="rId9"/>
    <sheet name="SEGU5176476" sheetId="261" r:id="rId10"/>
    <sheet name="KKFU7935971" sheetId="262" r:id="rId11"/>
    <sheet name="CMAU7447870" sheetId="260" r:id="rId12"/>
    <sheet name="TCNU3632887" sheetId="259" r:id="rId13"/>
    <sheet name="TLLU4428396" sheetId="258" r:id="rId14"/>
    <sheet name="TCNU3717752" sheetId="257" r:id="rId15"/>
    <sheet name="DDDU5046665" sheetId="256" r:id="rId16"/>
    <sheet name="TCLU8910094" sheetId="255" r:id="rId17"/>
    <sheet name="MSMU8426391" sheetId="254" r:id="rId18"/>
    <sheet name="TCLU6374264" sheetId="253" r:id="rId19"/>
    <sheet name="UETU5559061" sheetId="251" r:id="rId20"/>
    <sheet name="CAIU9472020" sheetId="252" r:id="rId21"/>
    <sheet name="CMAU6149465" sheetId="250" r:id="rId22"/>
    <sheet name="TCNU7813630" sheetId="249" r:id="rId23"/>
    <sheet name="MSMU6056997" sheetId="248" r:id="rId24"/>
    <sheet name="MRSU3054645" sheetId="247" r:id="rId25"/>
    <sheet name="CMAU6742059" sheetId="246" r:id="rId26"/>
    <sheet name="SEKU7815204" sheetId="245" r:id="rId27"/>
    <sheet name="SEKU7816495" sheetId="237" r:id="rId28"/>
    <sheet name="SEKU7816767" sheetId="238" r:id="rId29"/>
    <sheet name="SEKU7816788" sheetId="239" r:id="rId30"/>
    <sheet name="ONEU1147585" sheetId="240" r:id="rId31"/>
    <sheet name="NYKU4794090" sheetId="241" r:id="rId32"/>
    <sheet name="SEKU7816480" sheetId="242" r:id="rId33"/>
    <sheet name="SEKU7816577" sheetId="243" r:id="rId34"/>
    <sheet name="SEKU7816514" sheetId="244" r:id="rId35"/>
    <sheet name="SEKU7814189" sheetId="236" r:id="rId36"/>
    <sheet name="SEKU7815225" sheetId="235" r:id="rId37"/>
    <sheet name="SEKU7815288" sheetId="234" r:id="rId38"/>
    <sheet name="SEKU7815267" sheetId="233" r:id="rId39"/>
    <sheet name="CMAU7126778" sheetId="232" r:id="rId40"/>
    <sheet name="MSMU5852428" sheetId="231" r:id="rId41"/>
    <sheet name="FSCU8840228" sheetId="230" r:id="rId42"/>
    <sheet name="TCNU2374129" sheetId="229" r:id="rId43"/>
    <sheet name="TCNU1554912" sheetId="228" r:id="rId44"/>
    <sheet name="CAAU5904294" sheetId="227" r:id="rId45"/>
    <sheet name="MSMU4227658" sheetId="226" r:id="rId46"/>
    <sheet name="MRSU7266658" sheetId="225" r:id="rId47"/>
    <sheet name="MRKU4372041" sheetId="224" r:id="rId48"/>
    <sheet name="TRHU4437683" sheetId="222" r:id="rId49"/>
    <sheet name="TCNU5152906" sheetId="223" r:id="rId50"/>
    <sheet name="HASU4497484" sheetId="221" r:id="rId51"/>
    <sheet name="FANU3359264" sheetId="220" r:id="rId52"/>
    <sheet name="MRKU3567877" sheetId="219" r:id="rId53"/>
    <sheet name="MSKU9770693" sheetId="216" r:id="rId54"/>
    <sheet name="MRSU7112185" sheetId="215" r:id="rId55"/>
    <sheet name="CRD 24 11-2" sheetId="214" r:id="rId56"/>
    <sheet name="MRKU3244447" sheetId="213" r:id="rId57"/>
    <sheet name="MSKU0654460" sheetId="212" r:id="rId58"/>
    <sheet name="CMAU7035404" sheetId="211" r:id="rId59"/>
    <sheet name="MRKU4170138" sheetId="218" r:id="rId60"/>
    <sheet name="CAAU7083644" sheetId="217" r:id="rId61"/>
    <sheet name="MRKU4976524" sheetId="207" r:id="rId62"/>
    <sheet name="CAIU8294053" sheetId="187" r:id="rId63"/>
  </sheets>
  <externalReferences>
    <externalReference r:id="rId64"/>
  </externalReferences>
  <definedNames>
    <definedName name="_xlnm._FilterDatabase" localSheetId="2" hidden="1">Fornecedores_Contentores!$A$1:$AC$60</definedName>
    <definedName name="_xlnm._FilterDatabase" localSheetId="1" hidden="1">RESUMO!$F$3:$H$3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269" l="1"/>
  <c r="H12" i="269" s="1"/>
  <c r="G11" i="269"/>
  <c r="H11" i="269" s="1"/>
  <c r="G10" i="269"/>
  <c r="H10" i="269" s="1"/>
  <c r="H9" i="269"/>
  <c r="G9" i="269"/>
  <c r="G8" i="269"/>
  <c r="H8" i="269" s="1"/>
  <c r="G7" i="269"/>
  <c r="H7" i="269" s="1"/>
  <c r="G6" i="269"/>
  <c r="H6" i="269" s="1"/>
  <c r="G5" i="269"/>
  <c r="H5" i="269" s="1"/>
  <c r="G4" i="269"/>
  <c r="H4" i="269" s="1"/>
  <c r="G3" i="269"/>
  <c r="H3" i="269" s="1"/>
  <c r="G4" i="267" l="1"/>
  <c r="G5" i="267"/>
  <c r="G6" i="267"/>
  <c r="G7" i="267"/>
  <c r="G8" i="267"/>
  <c r="H8" i="267" s="1"/>
  <c r="G9" i="267"/>
  <c r="G10" i="267"/>
  <c r="H10" i="267" s="1"/>
  <c r="G11" i="267"/>
  <c r="H11" i="267" s="1"/>
  <c r="G12" i="267"/>
  <c r="H12" i="267" s="1"/>
  <c r="G3" i="267"/>
  <c r="H3" i="267" s="1"/>
  <c r="H9" i="267"/>
  <c r="H4" i="267"/>
  <c r="H5" i="267"/>
  <c r="H6" i="267"/>
  <c r="H7" i="267"/>
  <c r="C39" i="2" l="1"/>
  <c r="C38" i="2"/>
  <c r="C37" i="2"/>
  <c r="C36" i="2"/>
  <c r="C35" i="2"/>
  <c r="C34" i="2"/>
  <c r="C33" i="2"/>
  <c r="H11" i="266"/>
  <c r="H12" i="266"/>
  <c r="H3" i="266" l="1"/>
  <c r="H10" i="266"/>
  <c r="H9" i="266"/>
  <c r="H8" i="266"/>
  <c r="H7" i="266"/>
  <c r="H6" i="266"/>
  <c r="H5" i="266"/>
  <c r="H4" i="266"/>
  <c r="H7" i="265"/>
  <c r="H6" i="265"/>
  <c r="H5" i="265"/>
  <c r="H4" i="265"/>
  <c r="H3" i="265"/>
  <c r="H7" i="264"/>
  <c r="H6" i="264"/>
  <c r="H5" i="264"/>
  <c r="H4" i="264"/>
  <c r="H3" i="264"/>
  <c r="H6" i="263"/>
  <c r="H7" i="263"/>
  <c r="H8" i="263"/>
  <c r="H9" i="263"/>
  <c r="H10" i="263"/>
  <c r="H11" i="263"/>
  <c r="H12" i="263"/>
  <c r="H13" i="263"/>
  <c r="H14" i="263"/>
  <c r="H15" i="263"/>
  <c r="H16" i="263"/>
  <c r="H5" i="263"/>
  <c r="H4" i="263"/>
  <c r="H3" i="263"/>
  <c r="H3" i="262"/>
  <c r="H6" i="261"/>
  <c r="H5" i="261"/>
  <c r="H4" i="261"/>
  <c r="H3" i="261"/>
  <c r="H6" i="262"/>
  <c r="H5" i="262"/>
  <c r="H4" i="262"/>
  <c r="H6" i="260" l="1"/>
  <c r="H5" i="260"/>
  <c r="H4" i="260"/>
  <c r="H3" i="260"/>
  <c r="H6" i="259"/>
  <c r="H5" i="259"/>
  <c r="H4" i="259"/>
  <c r="H3" i="259"/>
  <c r="H8" i="258"/>
  <c r="H7" i="258"/>
  <c r="H6" i="258"/>
  <c r="H5" i="258"/>
  <c r="H4" i="258"/>
  <c r="H3" i="258"/>
  <c r="H8" i="257"/>
  <c r="H7" i="257"/>
  <c r="H6" i="257"/>
  <c r="H5" i="257"/>
  <c r="H4" i="257"/>
  <c r="H3" i="257"/>
  <c r="H8" i="256"/>
  <c r="H7" i="256"/>
  <c r="H6" i="256"/>
  <c r="H5" i="256"/>
  <c r="H4" i="256"/>
  <c r="H3" i="256"/>
  <c r="H8" i="255"/>
  <c r="H7" i="255"/>
  <c r="H6" i="255"/>
  <c r="H5" i="255"/>
  <c r="H4" i="255"/>
  <c r="H3" i="255"/>
  <c r="H8" i="254"/>
  <c r="H7" i="254"/>
  <c r="H6" i="254"/>
  <c r="H5" i="254"/>
  <c r="H4" i="254"/>
  <c r="H3" i="254"/>
  <c r="H8" i="253"/>
  <c r="H7" i="253"/>
  <c r="H6" i="253"/>
  <c r="H5" i="253"/>
  <c r="H4" i="253"/>
  <c r="H3" i="253"/>
  <c r="H8" i="252"/>
  <c r="H7" i="252"/>
  <c r="H6" i="252"/>
  <c r="H5" i="252"/>
  <c r="H4" i="252"/>
  <c r="H3" i="252"/>
  <c r="H8" i="251"/>
  <c r="H7" i="251"/>
  <c r="H6" i="251"/>
  <c r="H5" i="251"/>
  <c r="H4" i="251"/>
  <c r="H3" i="251"/>
  <c r="H7" i="250"/>
  <c r="H8" i="250"/>
  <c r="H9" i="250"/>
  <c r="H10" i="250"/>
  <c r="H11" i="250"/>
  <c r="H6" i="250"/>
  <c r="H5" i="250"/>
  <c r="H4" i="250"/>
  <c r="H3" i="250"/>
  <c r="H3" i="211"/>
  <c r="H3" i="240"/>
  <c r="H4" i="240"/>
  <c r="H5" i="240"/>
  <c r="H6" i="240"/>
  <c r="H6" i="237"/>
  <c r="H9" i="249"/>
  <c r="H8" i="249"/>
  <c r="H7" i="249"/>
  <c r="H6" i="249"/>
  <c r="H5" i="249"/>
  <c r="H4" i="249"/>
  <c r="H3" i="249"/>
  <c r="H8" i="248"/>
  <c r="H7" i="248"/>
  <c r="H6" i="248"/>
  <c r="H5" i="248"/>
  <c r="H4" i="248"/>
  <c r="H3" i="248"/>
  <c r="H6" i="247"/>
  <c r="H7" i="247"/>
  <c r="H8" i="247"/>
  <c r="H9" i="247"/>
  <c r="H10" i="247"/>
  <c r="H11" i="247"/>
  <c r="H14" i="247"/>
  <c r="H13" i="247"/>
  <c r="H12" i="247"/>
  <c r="H5" i="247"/>
  <c r="H4" i="247"/>
  <c r="H3" i="247"/>
  <c r="H9" i="246"/>
  <c r="H8" i="246"/>
  <c r="H7" i="246"/>
  <c r="H6" i="246"/>
  <c r="H5" i="246"/>
  <c r="H4" i="246"/>
  <c r="H3" i="246"/>
  <c r="H9" i="245"/>
  <c r="H8" i="245"/>
  <c r="H7" i="245"/>
  <c r="H6" i="245"/>
  <c r="H5" i="245"/>
  <c r="H4" i="245"/>
  <c r="H3" i="245"/>
  <c r="H3" i="238"/>
  <c r="H4" i="238"/>
  <c r="H5" i="238"/>
  <c r="H6" i="238"/>
  <c r="H7" i="238"/>
  <c r="H8" i="238"/>
  <c r="H9" i="238"/>
  <c r="H7" i="240"/>
  <c r="H8" i="240"/>
  <c r="H9" i="240"/>
  <c r="H4" i="241"/>
  <c r="H5" i="241"/>
  <c r="H6" i="241"/>
  <c r="H7" i="241"/>
  <c r="H8" i="241"/>
  <c r="H9" i="241"/>
  <c r="H10" i="241"/>
  <c r="H11" i="241"/>
  <c r="H12" i="241"/>
  <c r="H13" i="241"/>
  <c r="H14" i="241"/>
  <c r="H15" i="241"/>
  <c r="H16" i="241"/>
  <c r="H17" i="241"/>
  <c r="H18" i="241"/>
  <c r="H19" i="241"/>
  <c r="H20" i="241"/>
  <c r="H21" i="241"/>
  <c r="H22" i="241"/>
  <c r="H23" i="241"/>
  <c r="H24" i="241"/>
  <c r="H25" i="241"/>
  <c r="H26" i="241"/>
  <c r="H27" i="241"/>
  <c r="H28" i="241"/>
  <c r="H29" i="241"/>
  <c r="H30" i="241"/>
  <c r="H31" i="241"/>
  <c r="H32" i="241"/>
  <c r="H33" i="241"/>
  <c r="H34" i="241"/>
  <c r="H35" i="241"/>
  <c r="H36" i="241"/>
  <c r="H37" i="241"/>
  <c r="H38" i="241"/>
  <c r="H39" i="241"/>
  <c r="H40" i="241"/>
  <c r="H41" i="241"/>
  <c r="H42" i="241"/>
  <c r="H9" i="237"/>
  <c r="H8" i="237"/>
  <c r="H7" i="237"/>
  <c r="H5" i="237"/>
  <c r="H4" i="237"/>
  <c r="H3" i="237"/>
  <c r="H9" i="239"/>
  <c r="H8" i="239"/>
  <c r="H7" i="239"/>
  <c r="H6" i="239"/>
  <c r="H5" i="239"/>
  <c r="H4" i="239"/>
  <c r="H3" i="239"/>
  <c r="H11" i="240"/>
  <c r="H10" i="240"/>
  <c r="H3" i="241"/>
  <c r="H9" i="242"/>
  <c r="H8" i="242"/>
  <c r="H7" i="242"/>
  <c r="H6" i="242"/>
  <c r="H5" i="242"/>
  <c r="H4" i="242"/>
  <c r="H3" i="242"/>
  <c r="H9" i="243"/>
  <c r="H8" i="243"/>
  <c r="H7" i="243"/>
  <c r="H6" i="243"/>
  <c r="H5" i="243"/>
  <c r="H4" i="243"/>
  <c r="H3" i="243"/>
  <c r="H9" i="244"/>
  <c r="H8" i="244"/>
  <c r="H7" i="244"/>
  <c r="H6" i="244"/>
  <c r="H5" i="244"/>
  <c r="H4" i="244"/>
  <c r="H3" i="244"/>
  <c r="H9" i="236"/>
  <c r="H8" i="236"/>
  <c r="H7" i="236"/>
  <c r="H6" i="236"/>
  <c r="H5" i="236"/>
  <c r="H4" i="236"/>
  <c r="H3" i="236"/>
  <c r="H9" i="235"/>
  <c r="H8" i="235"/>
  <c r="H7" i="235"/>
  <c r="H6" i="235"/>
  <c r="H5" i="235"/>
  <c r="H4" i="235"/>
  <c r="H3" i="235"/>
  <c r="H6" i="234"/>
  <c r="H7" i="234"/>
  <c r="H9" i="234"/>
  <c r="H8" i="234"/>
  <c r="H5" i="234"/>
  <c r="H4" i="234"/>
  <c r="H3" i="234"/>
  <c r="H8" i="233"/>
  <c r="H7" i="233"/>
  <c r="H6" i="233"/>
  <c r="H5" i="233"/>
  <c r="H4" i="233"/>
  <c r="H3" i="233"/>
  <c r="H8" i="232"/>
  <c r="H7" i="232"/>
  <c r="H6" i="232"/>
  <c r="H5" i="232"/>
  <c r="H4" i="232"/>
  <c r="H3" i="232"/>
  <c r="H3" i="231"/>
  <c r="H4" i="231"/>
  <c r="H5" i="231"/>
  <c r="H6" i="231"/>
  <c r="H7" i="231"/>
  <c r="H8" i="231"/>
  <c r="H3" i="230"/>
  <c r="H4" i="230"/>
  <c r="H5" i="230"/>
  <c r="H6" i="230"/>
  <c r="H7" i="230"/>
  <c r="H8" i="230"/>
  <c r="H9" i="230"/>
  <c r="H10" i="230"/>
  <c r="H11" i="230"/>
  <c r="H3" i="229"/>
  <c r="H4" i="229"/>
  <c r="H5" i="229"/>
  <c r="H6" i="229"/>
  <c r="H7" i="229"/>
  <c r="H8" i="229"/>
  <c r="H3" i="228"/>
  <c r="H4" i="228"/>
  <c r="H5" i="228"/>
  <c r="H6" i="228"/>
  <c r="H7" i="228"/>
  <c r="H8" i="228"/>
  <c r="H9" i="228"/>
  <c r="H10" i="228"/>
  <c r="H3" i="227"/>
  <c r="H4" i="227"/>
  <c r="H5" i="227"/>
  <c r="H6" i="227"/>
  <c r="H7" i="227"/>
  <c r="H8" i="227"/>
  <c r="H9" i="227"/>
  <c r="H10" i="227"/>
  <c r="H11" i="226"/>
  <c r="H10" i="226"/>
  <c r="H9" i="226"/>
  <c r="H8" i="226"/>
  <c r="H7" i="226"/>
  <c r="H6" i="226"/>
  <c r="H5" i="226"/>
  <c r="H4" i="226"/>
  <c r="H3" i="226"/>
  <c r="H11" i="225"/>
  <c r="H10" i="225"/>
  <c r="H9" i="225"/>
  <c r="H8" i="225"/>
  <c r="H7" i="225"/>
  <c r="H6" i="225"/>
  <c r="H5" i="225"/>
  <c r="H4" i="225"/>
  <c r="H3" i="225"/>
  <c r="H9" i="224"/>
  <c r="H8" i="224"/>
  <c r="H7" i="224"/>
  <c r="H6" i="224"/>
  <c r="H5" i="224"/>
  <c r="H4" i="224"/>
  <c r="H3" i="224"/>
  <c r="H11" i="223"/>
  <c r="H10" i="223"/>
  <c r="H9" i="223"/>
  <c r="H8" i="223"/>
  <c r="H7" i="223"/>
  <c r="H6" i="223"/>
  <c r="H5" i="223"/>
  <c r="H4" i="223"/>
  <c r="H3" i="223"/>
  <c r="H11" i="222"/>
  <c r="H10" i="222"/>
  <c r="H9" i="222"/>
  <c r="H8" i="222"/>
  <c r="H7" i="222"/>
  <c r="H6" i="222"/>
  <c r="H5" i="222"/>
  <c r="H4" i="222"/>
  <c r="H3" i="222"/>
  <c r="H11" i="221"/>
  <c r="H10" i="221"/>
  <c r="H9" i="221"/>
  <c r="H8" i="221"/>
  <c r="H7" i="221"/>
  <c r="H6" i="221"/>
  <c r="H5" i="221"/>
  <c r="H4" i="221"/>
  <c r="H3" i="221"/>
  <c r="H11" i="220"/>
  <c r="H10" i="220"/>
  <c r="H9" i="220"/>
  <c r="H8" i="220"/>
  <c r="H7" i="220"/>
  <c r="H6" i="220"/>
  <c r="H5" i="220"/>
  <c r="H4" i="220"/>
  <c r="H3" i="220"/>
  <c r="H11" i="219"/>
  <c r="H10" i="219"/>
  <c r="H9" i="219"/>
  <c r="H8" i="219"/>
  <c r="H7" i="219"/>
  <c r="H6" i="219"/>
  <c r="H5" i="219"/>
  <c r="H4" i="219"/>
  <c r="H3" i="219"/>
  <c r="H4" i="218"/>
  <c r="H3" i="218"/>
  <c r="H4" i="217"/>
  <c r="H3" i="217"/>
  <c r="H11" i="216"/>
  <c r="H10" i="216"/>
  <c r="H9" i="216"/>
  <c r="H8" i="216"/>
  <c r="H7" i="216"/>
  <c r="H6" i="216"/>
  <c r="H5" i="216"/>
  <c r="H4" i="216"/>
  <c r="H3" i="216"/>
  <c r="H11" i="215"/>
  <c r="H10" i="215"/>
  <c r="H9" i="215"/>
  <c r="H8" i="215"/>
  <c r="H7" i="215"/>
  <c r="H6" i="215"/>
  <c r="H5" i="215"/>
  <c r="H4" i="215"/>
  <c r="H3" i="215"/>
  <c r="H11" i="214"/>
  <c r="H10" i="214"/>
  <c r="H9" i="214"/>
  <c r="H8" i="214"/>
  <c r="H7" i="214"/>
  <c r="H6" i="214"/>
  <c r="H5" i="214"/>
  <c r="H4" i="214"/>
  <c r="H3" i="214"/>
  <c r="H11" i="213"/>
  <c r="H10" i="213"/>
  <c r="H9" i="213"/>
  <c r="H8" i="213"/>
  <c r="H7" i="213"/>
  <c r="H6" i="213"/>
  <c r="H5" i="213"/>
  <c r="H4" i="213"/>
  <c r="H3" i="213"/>
  <c r="H11" i="212"/>
  <c r="H10" i="212"/>
  <c r="H9" i="212"/>
  <c r="H8" i="212"/>
  <c r="H7" i="212"/>
  <c r="H6" i="212"/>
  <c r="H5" i="212"/>
  <c r="H4" i="212"/>
  <c r="H3" i="212"/>
  <c r="H8" i="211"/>
  <c r="H7" i="211"/>
  <c r="H6" i="211"/>
  <c r="H5" i="211"/>
  <c r="H4" i="211"/>
  <c r="H7" i="207"/>
  <c r="H6" i="207"/>
  <c r="H5" i="207"/>
  <c r="H4" i="207"/>
  <c r="H3" i="207"/>
  <c r="H10" i="187"/>
  <c r="H9" i="187"/>
  <c r="H8" i="187"/>
  <c r="H7" i="187"/>
  <c r="H6" i="187"/>
  <c r="H5" i="187"/>
  <c r="H4" i="187"/>
  <c r="H3" i="187"/>
</calcChain>
</file>

<file path=xl/sharedStrings.xml><?xml version="1.0" encoding="utf-8"?>
<sst xmlns="http://schemas.openxmlformats.org/spreadsheetml/2006/main" count="2342" uniqueCount="939">
  <si>
    <t>CONTENTOR</t>
  </si>
  <si>
    <t>TIPO</t>
  </si>
  <si>
    <t>SELO</t>
  </si>
  <si>
    <t>SAIDA - ETD</t>
  </si>
  <si>
    <t>CHEGADA POD - ETA</t>
  </si>
  <si>
    <t>Data entrega cliente</t>
  </si>
  <si>
    <t>POD</t>
  </si>
  <si>
    <t>DESTINO FINAL</t>
  </si>
  <si>
    <t>P.O's</t>
  </si>
  <si>
    <t>GUANGZHOU AOJIE</t>
  </si>
  <si>
    <t>40HC</t>
  </si>
  <si>
    <t>Riachos</t>
  </si>
  <si>
    <t>FJMPC</t>
  </si>
  <si>
    <t>Cadeiras</t>
  </si>
  <si>
    <t>ANJI DINCHEN</t>
  </si>
  <si>
    <t xml:space="preserve">REFERENCIA </t>
  </si>
  <si>
    <t>PRODUTOS</t>
  </si>
  <si>
    <t>QUANT.</t>
  </si>
  <si>
    <t>AGMAYA-BK</t>
  </si>
  <si>
    <t>Alpha Gamer Maya - Black</t>
  </si>
  <si>
    <t>AGMAYA-BK-RED</t>
  </si>
  <si>
    <t>AGCYGNUS</t>
  </si>
  <si>
    <t>Alpha Gamer Cygnus RGB</t>
  </si>
  <si>
    <t>AGZETA-WHT-BK</t>
  </si>
  <si>
    <t>Alpha Gamer Zeta - White / Black</t>
  </si>
  <si>
    <t>AGZETA-BK</t>
  </si>
  <si>
    <t>INICIO</t>
  </si>
  <si>
    <t>5600413204856</t>
  </si>
  <si>
    <t>PCDIGA Mousepad Basic Extended - Black</t>
  </si>
  <si>
    <t>PCDIGA Basic Chair Mat</t>
  </si>
  <si>
    <t>AGNIMBUSBK</t>
  </si>
  <si>
    <t>Alpha Gamer Nimbus Black</t>
  </si>
  <si>
    <t>AGNIMBUSOE-BWN</t>
  </si>
  <si>
    <t>AGNIMBUSWHT</t>
  </si>
  <si>
    <t>Alpha Gamer Nimbus White</t>
  </si>
  <si>
    <t>AGNIMBUSPNKFB</t>
  </si>
  <si>
    <t>Alpha Gamer Zeta Black</t>
  </si>
  <si>
    <t>AGZETA-BK-R</t>
  </si>
  <si>
    <t>OFFYLYMA</t>
  </si>
  <si>
    <t>AGIRIS</t>
  </si>
  <si>
    <t>OFFYLYCABK</t>
  </si>
  <si>
    <t>AGASTRID</t>
  </si>
  <si>
    <t>AGSTELLA-BK</t>
  </si>
  <si>
    <t>AGSTELLA-GRY</t>
  </si>
  <si>
    <t>AGSTELLA-WT-GRY</t>
  </si>
  <si>
    <t>AGAURORA</t>
  </si>
  <si>
    <t>5600413205372</t>
  </si>
  <si>
    <t>5600413203811</t>
  </si>
  <si>
    <t>5600413203804</t>
  </si>
  <si>
    <t>5600413205761</t>
  </si>
  <si>
    <t>5600413204191</t>
  </si>
  <si>
    <t>Alpha Gamer Iris - Cadeira em Malha</t>
  </si>
  <si>
    <t>Caixas</t>
  </si>
  <si>
    <t>Fornecedor</t>
  </si>
  <si>
    <t>Mercadoria</t>
  </si>
  <si>
    <t>OBS</t>
  </si>
  <si>
    <t>Alpha Gamer Nimbus - Office Edition Brown</t>
  </si>
  <si>
    <t>5600413204283</t>
  </si>
  <si>
    <t>Alpha Gamer Nimbus - Pink Fabric Edition</t>
  </si>
  <si>
    <t>5600413204276</t>
  </si>
  <si>
    <t>PCDIGABCM</t>
  </si>
  <si>
    <t>Cambio</t>
  </si>
  <si>
    <t>AGGAIA-DK-GREY-BLUE-V2</t>
  </si>
  <si>
    <t>Alpha Gamer Gaia - Dark Grey / Blue V2</t>
  </si>
  <si>
    <t>AGGAIA-LT-GREY-V2</t>
  </si>
  <si>
    <t>Alpha Gamer Gaia - Light Grey V2</t>
  </si>
  <si>
    <t>5600413206324</t>
  </si>
  <si>
    <t>Offy Lyma - Cadeira de Escritório em Malha</t>
  </si>
  <si>
    <t>5600413206362</t>
  </si>
  <si>
    <t>5600413206416</t>
  </si>
  <si>
    <t>Alpha Gamer Astrid - Cadeira em Malha</t>
  </si>
  <si>
    <t>5600413206386</t>
  </si>
  <si>
    <t>Offy Lyca Black - Cadeira de Escritório em Malha</t>
  </si>
  <si>
    <t>5600413206447</t>
  </si>
  <si>
    <t>Alpha Gamer Stella White / Grey - Cadeira em Malha</t>
  </si>
  <si>
    <t>RIACHOS</t>
  </si>
  <si>
    <t>AGALEGRA-F-GRY-V2</t>
  </si>
  <si>
    <t>Alpha Gamer Alegra - Fabric Grey / Black V2</t>
  </si>
  <si>
    <t>LISBOA</t>
  </si>
  <si>
    <t>5600413206355</t>
  </si>
  <si>
    <t>Alpha Gamer Aurora - Cadeira em Malha</t>
  </si>
  <si>
    <t>5600413206423</t>
  </si>
  <si>
    <t>Alpha Gamer Stella Black - Cadeira em Malha</t>
  </si>
  <si>
    <t>5600413206430</t>
  </si>
  <si>
    <t>Alpha Gamer Stella Grey - Cadeira em Malha</t>
  </si>
  <si>
    <t>AGGEMINARGBBK</t>
  </si>
  <si>
    <t>Alpha Gamer Gemina RGB Black - Secretária Gaming</t>
  </si>
  <si>
    <t>AGGEMINABK</t>
  </si>
  <si>
    <t>Alpha Gamer Gemina Black - Secretária Gaming</t>
  </si>
  <si>
    <t>AGSTARLARGBBK</t>
  </si>
  <si>
    <t>Alpha Gamer Starla RGB Black - Secretária gaming</t>
  </si>
  <si>
    <t>AGZORYARGBBK</t>
  </si>
  <si>
    <t>PCDIGAMPBEBK</t>
  </si>
  <si>
    <t>AGMAYA-BK-BLUE</t>
  </si>
  <si>
    <t>Alpha Gamer Gaia - Dark Grey / Black V2</t>
  </si>
  <si>
    <t>ZLDVYNTRIX</t>
  </si>
  <si>
    <t>5600413206799</t>
  </si>
  <si>
    <t>Zolyd Vyntrix - Tempered Glass ARGB M-ATX</t>
  </si>
  <si>
    <t>ZLDRIVEXABK</t>
  </si>
  <si>
    <t>5600413206867</t>
  </si>
  <si>
    <t>Zolyd Rivexa Black - ARGB Infinity Mirror ATX</t>
  </si>
  <si>
    <t>ZLDRIVEXAWT</t>
  </si>
  <si>
    <t>5600413206874</t>
  </si>
  <si>
    <t>Zolyd Rivexa White - ARGB Infinity Mirror ATX</t>
  </si>
  <si>
    <t>Alpha Gamer Alegra - PU Leather Black V2</t>
  </si>
  <si>
    <t>Alpha Gamer Alegra - PU Leather Grey / Black V2</t>
  </si>
  <si>
    <t>Alpha Gamer Alegra - PU Leather White / Black V2</t>
  </si>
  <si>
    <t>AGGALAXA-F-GRY-BK</t>
  </si>
  <si>
    <t>5600413207154</t>
  </si>
  <si>
    <t>Alpha Gamer Galaxa - Fabric Grey / Black</t>
  </si>
  <si>
    <t>Bobadela</t>
  </si>
  <si>
    <t>Alpha Gamer Zorya RGB Black - Secretaria Gaming Altura Regulável</t>
  </si>
  <si>
    <t>Cadeiras Mesh</t>
  </si>
  <si>
    <t>5600413204955</t>
  </si>
  <si>
    <t>AGCYRA-F-GREY</t>
  </si>
  <si>
    <t>Alpha Gamer Cyra - Fabric Grey / Black</t>
  </si>
  <si>
    <t>ANJI HAIWEI SMART FURNITURE</t>
  </si>
  <si>
    <t>HUZHOU JIERU HOME</t>
  </si>
  <si>
    <t>Worten</t>
  </si>
  <si>
    <t>AGALEGRA-PUL-BK-V2</t>
  </si>
  <si>
    <t>AGALEGRA-PUL-GRY-V2</t>
  </si>
  <si>
    <t>AGALEGRA-PUL-WHT-V2</t>
  </si>
  <si>
    <t>5600413207109</t>
  </si>
  <si>
    <t>5600413207130</t>
  </si>
  <si>
    <t>OFFYLYMAGREY</t>
  </si>
  <si>
    <t>AGLUNAGRY</t>
  </si>
  <si>
    <t>AGLUNAV2</t>
  </si>
  <si>
    <t>PC DIGA</t>
  </si>
  <si>
    <t>VALOR</t>
  </si>
  <si>
    <t>AGGAIA-DK-GREY-V2</t>
  </si>
  <si>
    <t>5600413207093</t>
  </si>
  <si>
    <t>AGGAIA-LT-GREY-WT-V2</t>
  </si>
  <si>
    <t>Alpha Gamer Gaia - Light Grey / White V2</t>
  </si>
  <si>
    <t>AGGALAXA-PUL-BK</t>
  </si>
  <si>
    <t>AGGAIA-DK-GREY-WT-V2</t>
  </si>
  <si>
    <t>5600413207161</t>
  </si>
  <si>
    <t>Alpha Gamer Galaxa - PU Black</t>
  </si>
  <si>
    <t>5600413207727</t>
  </si>
  <si>
    <t>Alpha Gamer Gaia - Dark Grey / White V2</t>
  </si>
  <si>
    <t>5600413207734</t>
  </si>
  <si>
    <t>5600413207390</t>
  </si>
  <si>
    <t>Alpha Gamer Luna V2 - Cadeira em Malha</t>
  </si>
  <si>
    <t>5600413207086</t>
  </si>
  <si>
    <t>5600413207062</t>
  </si>
  <si>
    <t>5600413207079</t>
  </si>
  <si>
    <t>PTAG11-296</t>
  </si>
  <si>
    <t>Alpha Gamer Maya Black</t>
  </si>
  <si>
    <t>40 HC</t>
  </si>
  <si>
    <t>JR1055-62</t>
  </si>
  <si>
    <t>PTAG11-632</t>
  </si>
  <si>
    <t>FJMPC / FNAC</t>
  </si>
  <si>
    <t>JR1055-50</t>
  </si>
  <si>
    <t>PTAG11-619</t>
  </si>
  <si>
    <t>PTAG11-629</t>
  </si>
  <si>
    <t>RP / FJMPC</t>
  </si>
  <si>
    <t>AGALEGRA-F-GRY</t>
  </si>
  <si>
    <t>Alpha Gamer Alegra Fabric Grey</t>
  </si>
  <si>
    <t>Alpha Gamer Zeta Black/Red</t>
  </si>
  <si>
    <t>PTAG11-625</t>
  </si>
  <si>
    <t>PTAG11-636</t>
  </si>
  <si>
    <t>CAAU7083644</t>
  </si>
  <si>
    <t>MRKU4170138</t>
  </si>
  <si>
    <t>MRKU4976524</t>
  </si>
  <si>
    <t>CN9908775</t>
  </si>
  <si>
    <t>CN9908483</t>
  </si>
  <si>
    <t>CN9908670</t>
  </si>
  <si>
    <t>MSKU0654460</t>
  </si>
  <si>
    <t>MRKU3244447</t>
  </si>
  <si>
    <t>CN2479404</t>
  </si>
  <si>
    <t>CN2520604</t>
  </si>
  <si>
    <t>CAIU8294053</t>
  </si>
  <si>
    <t>MSKU9770693</t>
  </si>
  <si>
    <t>MRKU3567877</t>
  </si>
  <si>
    <t>25SM10062</t>
  </si>
  <si>
    <t>SUAVE TECHNOLOGY</t>
  </si>
  <si>
    <t>FANU3359264</t>
  </si>
  <si>
    <t>HASU4497484</t>
  </si>
  <si>
    <t>TRHU4437683</t>
  </si>
  <si>
    <t>JR1055-63</t>
  </si>
  <si>
    <t>5600413206119</t>
  </si>
  <si>
    <t>NXHUMMERAEROWH</t>
  </si>
  <si>
    <t>NXHUMMERAEROBK</t>
  </si>
  <si>
    <t>NXINFTYIOTAWH</t>
  </si>
  <si>
    <t> NXINFTYIOTABK</t>
  </si>
  <si>
    <t>NXHUMMERSIGNALWH</t>
  </si>
  <si>
    <t>Nox Hummer Signal - ARGB Frameless Mid Tower - White</t>
  </si>
  <si>
    <t>Nox Hummer Signal - ARGB Frameless Mid Tower - Black</t>
  </si>
  <si>
    <t>NXHUMMERSIGNALBK</t>
  </si>
  <si>
    <t>Nox Hummer Aero - ARGB Hyperflow Mid Tower - White</t>
  </si>
  <si>
    <t>Nox Hummer Aero - ARGB Hyperflow Mid Tower - Black</t>
  </si>
  <si>
    <t>Nox Infinity IOTA - ARGB Mesh Mid Tower - White</t>
  </si>
  <si>
    <t>Nox Infinity IOTA - ARGB Mesh Mid Tower - Black</t>
  </si>
  <si>
    <t>Tapetes Pc Diga</t>
  </si>
  <si>
    <t>Caixas Atlas</t>
  </si>
  <si>
    <t>SUAVE TECHNOLOGY / Atlas</t>
  </si>
  <si>
    <t>5600413207741</t>
  </si>
  <si>
    <t>Offy Lyma Grey - Cadeira de Escritório em Malha</t>
  </si>
  <si>
    <t>5600413207758</t>
  </si>
  <si>
    <t>Alpha Gamer Luna Grey - Cadeira em Malha</t>
  </si>
  <si>
    <t>TCNU5152906</t>
  </si>
  <si>
    <t>M7961357</t>
  </si>
  <si>
    <t xml:space="preserve">ST2509017 </t>
  </si>
  <si>
    <t>ZLDCORE120PWMBK</t>
  </si>
  <si>
    <t>ZLDHFLOWARGB240</t>
  </si>
  <si>
    <t>ZLDHFLOWARGB360</t>
  </si>
  <si>
    <t>ZLDNOCT</t>
  </si>
  <si>
    <t>ZLDNODE</t>
  </si>
  <si>
    <t>ZLDPULSAR</t>
  </si>
  <si>
    <t>Zolyd Core 120 mm PWM Fan Black</t>
  </si>
  <si>
    <t>Zolyd Hyperflow ARGB 240 mm Liquid Cooling System</t>
  </si>
  <si>
    <t>Zolyd Hyperflow ARGB 360 mm Liquid Cooling System</t>
  </si>
  <si>
    <t>Zolyd Noct - Caixa PC ATX</t>
  </si>
  <si>
    <t>Zolyd Node - Caixa PC Micro-ATX + 500W 80 Plus Bronze PSU</t>
  </si>
  <si>
    <t>Zolyd Pulsar - Caixa PC Micro-ATX</t>
  </si>
  <si>
    <t>CN3242583</t>
  </si>
  <si>
    <t>HLK1038932</t>
  </si>
  <si>
    <t>MRKU4372041</t>
  </si>
  <si>
    <t>CN4676253</t>
  </si>
  <si>
    <t>HW137-2406-1</t>
  </si>
  <si>
    <t>Mesas</t>
  </si>
  <si>
    <t>MRSU7266658</t>
  </si>
  <si>
    <t>Caixas Coolers Zolid</t>
  </si>
  <si>
    <t>CAAU5904294</t>
  </si>
  <si>
    <t>FX42416620</t>
  </si>
  <si>
    <t>PC Diga</t>
  </si>
  <si>
    <t>JR1055-60</t>
  </si>
  <si>
    <t>MSMU4227658</t>
  </si>
  <si>
    <t>FX43262251</t>
  </si>
  <si>
    <t>WORTEN</t>
  </si>
  <si>
    <t>PTAG11-602</t>
  </si>
  <si>
    <t>TCNU1554912</t>
  </si>
  <si>
    <t>FX42237633</t>
  </si>
  <si>
    <t>JR1055-58</t>
  </si>
  <si>
    <t>TCNU2374129</t>
  </si>
  <si>
    <t>FX42237675</t>
  </si>
  <si>
    <t>JR1055-59</t>
  </si>
  <si>
    <t>UE FURNITURE CO., LTD</t>
  </si>
  <si>
    <t>FSCU8840228</t>
  </si>
  <si>
    <t>FX43773837</t>
  </si>
  <si>
    <t>FJMPC-2504</t>
  </si>
  <si>
    <t>CADEIRAS MESH NOVAS</t>
  </si>
  <si>
    <t>MSMU5852428</t>
  </si>
  <si>
    <t xml:space="preserve">FX43774142	</t>
  </si>
  <si>
    <t>JR1055-61</t>
  </si>
  <si>
    <t>PTAG11-604</t>
  </si>
  <si>
    <t>AGNEBULA</t>
  </si>
  <si>
    <t>5600413204054</t>
  </si>
  <si>
    <t>Alpha Gamer Nebula</t>
  </si>
  <si>
    <t>Offy Lyca White - Cadeira de Escritório em Malha</t>
  </si>
  <si>
    <t>5600413206409</t>
  </si>
  <si>
    <t>OFFYLYCAWT</t>
  </si>
  <si>
    <t>Offy Cyla - Cadeira de Escritório em Malha</t>
  </si>
  <si>
    <t>5600413206317</t>
  </si>
  <si>
    <t>OFFYCYLA</t>
  </si>
  <si>
    <t>Alpha Gamer Swell White / Grey</t>
  </si>
  <si>
    <t>AGSWELLWTGRY</t>
  </si>
  <si>
    <t>Alpha Gamer Swell Grey</t>
  </si>
  <si>
    <t>AGSWELLGRY</t>
  </si>
  <si>
    <t>Alpha Gamer Swell Black</t>
  </si>
  <si>
    <t>AGSWELLBK</t>
  </si>
  <si>
    <t>Alpha Gamer Tide Grey</t>
  </si>
  <si>
    <t>AGTIDEGRY</t>
  </si>
  <si>
    <t>Alpha Gamer Tide Black</t>
  </si>
  <si>
    <t>AGTIDEBK</t>
  </si>
  <si>
    <t>Alpha Gamer Mist Black / Grey</t>
  </si>
  <si>
    <t>AGMISTBKGRY</t>
  </si>
  <si>
    <t>Alpha Gamer Mist Black</t>
  </si>
  <si>
    <t>AGMISTBK</t>
  </si>
  <si>
    <t>Alpha Gamer Wave Black / Grey</t>
  </si>
  <si>
    <t>AGWAVEBKGRY</t>
  </si>
  <si>
    <t>Alpha Gamer Wave Black</t>
  </si>
  <si>
    <t>AGWAVEBK</t>
  </si>
  <si>
    <t>CMAU7126778</t>
  </si>
  <si>
    <t>SEKU7815267</t>
  </si>
  <si>
    <t>SEKU7815288</t>
  </si>
  <si>
    <t>DONGLAI SMART HOME TECH LTD</t>
  </si>
  <si>
    <t>SEKU7814189</t>
  </si>
  <si>
    <t>SEKU7815225</t>
  </si>
  <si>
    <t>SEKU7815204</t>
  </si>
  <si>
    <t>PTAG11-639</t>
  </si>
  <si>
    <t>JR1055-63&amp;64B</t>
  </si>
  <si>
    <t>Worten / Bobadela</t>
  </si>
  <si>
    <t>MEO / FJMPC</t>
  </si>
  <si>
    <t>AGNEBULAOE-PU-BWN</t>
  </si>
  <si>
    <t>5600413206379</t>
  </si>
  <si>
    <t>Alpha Gamer Nebula Office Edition - PU Brown</t>
  </si>
  <si>
    <t>M6801417</t>
  </si>
  <si>
    <t>M6801403</t>
  </si>
  <si>
    <t>Alpha Gamer Stella Black - Cadeira em malha</t>
  </si>
  <si>
    <t>Alpha Gamer Stella Grey - Cadeira em malha</t>
  </si>
  <si>
    <t>Alpha Gamer Stella White / Grey - Cadeira em malha</t>
  </si>
  <si>
    <t>AGNEBULA-GRY-PK</t>
  </si>
  <si>
    <t>5600413205013</t>
  </si>
  <si>
    <t>Alpha Gamer Nebula master Grey/Pink</t>
  </si>
  <si>
    <t>AGNEBULA-GRY-O</t>
  </si>
  <si>
    <t>5600413205020</t>
  </si>
  <si>
    <t>Alpha Gamer Nebula master Grey/Orange</t>
  </si>
  <si>
    <t>AGNYSA-BK</t>
  </si>
  <si>
    <t>5600413205488</t>
  </si>
  <si>
    <t>Alpha Gamer Nysa - Black</t>
  </si>
  <si>
    <t>Alpha Gamer Nebula master Grey/Black</t>
  </si>
  <si>
    <t>JR1055-65</t>
  </si>
  <si>
    <t>PTAG11-638</t>
  </si>
  <si>
    <t>PTAG11-641</t>
  </si>
  <si>
    <t>CN4619129</t>
  </si>
  <si>
    <t>CN4551737</t>
  </si>
  <si>
    <t>30/01 Tanger</t>
  </si>
  <si>
    <t>15/02/2026 ??</t>
  </si>
  <si>
    <t>CN4510533</t>
  </si>
  <si>
    <t>CN4510551</t>
  </si>
  <si>
    <t>CN4510540</t>
  </si>
  <si>
    <t>M4174103</t>
  </si>
  <si>
    <t>M6801357</t>
  </si>
  <si>
    <t>M6801351</t>
  </si>
  <si>
    <t>M6801292</t>
  </si>
  <si>
    <t>SUAVETECH</t>
  </si>
  <si>
    <t>JR1055-66</t>
  </si>
  <si>
    <t>JR1055-67</t>
  </si>
  <si>
    <t>JR1055-68</t>
  </si>
  <si>
    <t>ST2511002 +ST2509017</t>
  </si>
  <si>
    <t>25SM04050 -1</t>
  </si>
  <si>
    <t>PTAG11-603</t>
  </si>
  <si>
    <t>PTAG11-637</t>
  </si>
  <si>
    <t>WOrten / Bobadela</t>
  </si>
  <si>
    <t>Radio Popular / FJMPC</t>
  </si>
  <si>
    <t>meo / FJMPC</t>
  </si>
  <si>
    <t>Caixas / Fontes NOX</t>
  </si>
  <si>
    <t>Alpha Gamer Aurora - Cadeira em malha</t>
  </si>
  <si>
    <t>SEKU7816514</t>
  </si>
  <si>
    <t>SEKU7816577</t>
  </si>
  <si>
    <t>SEKU7816480</t>
  </si>
  <si>
    <t>NYKU4794090</t>
  </si>
  <si>
    <t>ONEU1147585</t>
  </si>
  <si>
    <t>SEKU7816788</t>
  </si>
  <si>
    <t>SEKU7816767</t>
  </si>
  <si>
    <t>SEKU7816495</t>
  </si>
  <si>
    <t>1IFEHDRAPID</t>
  </si>
  <si>
    <t>5600413204146</t>
  </si>
  <si>
    <t>1Life hd:rapid 2.5 C to C SATA</t>
  </si>
  <si>
    <t>1IFEUSBC5IN1</t>
  </si>
  <si>
    <t>5600413203682</t>
  </si>
  <si>
    <t>1Life usb-c:5in1 HDMI / DEX / RJ45</t>
  </si>
  <si>
    <t>1IFECRCITIZEN</t>
  </si>
  <si>
    <t>5600413202777</t>
  </si>
  <si>
    <t>1Life cr:citizen</t>
  </si>
  <si>
    <t>1IFECBUSBCLGTNG27W15M</t>
  </si>
  <si>
    <t>5600413205952</t>
  </si>
  <si>
    <t>1Life cabo USB-C &gt; Lightning 27W 1.5m</t>
  </si>
  <si>
    <t>1IFECXEXT25USB3TRP</t>
  </si>
  <si>
    <t>5600413205914</t>
  </si>
  <si>
    <t>1Life caixa externa HDD/SSD 2.5" USB 3.0 transp.</t>
  </si>
  <si>
    <t>1IFEHDFLUX3</t>
  </si>
  <si>
    <t>5600413203880</t>
  </si>
  <si>
    <t>1Life hd:flux 3</t>
  </si>
  <si>
    <t>1IFENBCXENOGR</t>
  </si>
  <si>
    <t>5600413205679</t>
  </si>
  <si>
    <t xml:space="preserve">1Life nbc: xeno laptop holder grey </t>
  </si>
  <si>
    <t>1IFENBCXENOBK</t>
  </si>
  <si>
    <t>5600413205662</t>
  </si>
  <si>
    <t>1Life nbc: xeno laptop holder black</t>
  </si>
  <si>
    <t>1IFETCTA3ADAPT</t>
  </si>
  <si>
    <t>5600413205587</t>
  </si>
  <si>
    <t>1Life usb: Type-C / Type-A 3.0 adapter 2pcs</t>
  </si>
  <si>
    <t>1IFETATC3ADAPT</t>
  </si>
  <si>
    <t>5600413205570</t>
  </si>
  <si>
    <t>1Life usb: Type-A / Type-C 3.0 adapter 2pcs</t>
  </si>
  <si>
    <t>AGBPBK</t>
  </si>
  <si>
    <t>Alpha Gamer Backpack Black</t>
  </si>
  <si>
    <t>AGBPGRY</t>
  </si>
  <si>
    <t>Alpha Gamer Backpack Grey</t>
  </si>
  <si>
    <t>OFFYSYNCROPT</t>
  </si>
  <si>
    <t>Offy Syncro Wireless / Bluetooth Keyboard + Mouse PT</t>
  </si>
  <si>
    <t>ZLDNOVAARGB120PWMBK</t>
  </si>
  <si>
    <t>Zolyd Nova ARGB 120 mm PWM Fan Black</t>
  </si>
  <si>
    <t>ZLDNOVAARGB120PWMWT</t>
  </si>
  <si>
    <t>Zolyd Nova ARGB 120 mm PWM Fan White</t>
  </si>
  <si>
    <t>ZLDNOVAARGB120PWMNGBK</t>
  </si>
  <si>
    <t>Zolyd Nova ARGB 120 mm PWM Negative Fan Black</t>
  </si>
  <si>
    <t>ZLDNOVAARGB120PWMNGWT</t>
  </si>
  <si>
    <t>Zolyd Nova ARGB 120 mm PWM Negative Fan White</t>
  </si>
  <si>
    <t>ZLDFLUXARGBML120PWMKITBK</t>
  </si>
  <si>
    <t>Zolyd Flux ARGB MagLink 120 mm PWM Fan Kit Black</t>
  </si>
  <si>
    <t>ZLDFLUXARGBML120PWMKITWT</t>
  </si>
  <si>
    <t>Zolyd Flux ARGB MagLink 120 mm PWM Fan Kit White</t>
  </si>
  <si>
    <t>ZLDVERTAARGBEF120PWMKITBK</t>
  </si>
  <si>
    <t>Zolyd Verta ARGB EasyFit 120 mm PWM Fan Kit Black</t>
  </si>
  <si>
    <t>ZLDVERTAARGBEF120PWMKITWT</t>
  </si>
  <si>
    <t>Zolyd Verta ARGB EasyFit 120 mm PWM Fan Kit White</t>
  </si>
  <si>
    <t>ZLDB750</t>
  </si>
  <si>
    <t>5600413206928</t>
  </si>
  <si>
    <t>Zolyd B750 - 750W 80 Plus Bronze ATX PSU</t>
  </si>
  <si>
    <t>ZLDNSKARIONBK</t>
  </si>
  <si>
    <t>Zolyd Neo Series Karion Black Micro-ATX Computer Case</t>
  </si>
  <si>
    <t>ZLDNSKARIONWDBK</t>
  </si>
  <si>
    <t>Zolyd Neo Series Karion WD Black Micro-ATX Computer Case</t>
  </si>
  <si>
    <t>ZLDNSKARIONWDWTBK</t>
  </si>
  <si>
    <t>Zolyd Neo Series Karion WD White / Black Micro-ATX Computer Case</t>
  </si>
  <si>
    <t>NOVIDADES</t>
  </si>
  <si>
    <t>Caixas Coolers Zolid / Mochilas / Combo Offy</t>
  </si>
  <si>
    <t>NXCBAYRX</t>
  </si>
  <si>
    <t>8436532163036</t>
  </si>
  <si>
    <t>Nox Coolbay RX</t>
  </si>
  <si>
    <t>NXCBAYMX2</t>
  </si>
  <si>
    <t>8436532165603</t>
  </si>
  <si>
    <t>Nox Coolbay MX2</t>
  </si>
  <si>
    <t>ZLDRADION</t>
  </si>
  <si>
    <t>5600413206843</t>
  </si>
  <si>
    <t>Zolyd Radion - ARGB ATX PC Case</t>
  </si>
  <si>
    <t>NXHUMMERFROST</t>
  </si>
  <si>
    <t>8436587972638</t>
  </si>
  <si>
    <t>Nox Hummer Frost ARGB Lighting Mid Tower</t>
  </si>
  <si>
    <t>NXURVX750BZ</t>
  </si>
  <si>
    <t>8436532166969</t>
  </si>
  <si>
    <t>Nox Urano VX 750W 80+ Bronze</t>
  </si>
  <si>
    <t>NXURVX650BZ</t>
  </si>
  <si>
    <t>8436532166952</t>
  </si>
  <si>
    <t>Nox Urano VX 650W 80+ Bronze</t>
  </si>
  <si>
    <t>NXURTX850BZ</t>
  </si>
  <si>
    <t>8436532166976</t>
  </si>
  <si>
    <t>Nox Urano TX 850W 80+ Bronze</t>
  </si>
  <si>
    <t>AGOCTANCORE</t>
  </si>
  <si>
    <t>5600413207451</t>
  </si>
  <si>
    <t>Alpha Gamer Octan Core Gaming Chair Mat</t>
  </si>
  <si>
    <t>AGKADRANCORE</t>
  </si>
  <si>
    <t>5600413207444</t>
  </si>
  <si>
    <t>Alpha Gamer Kadran Core Gaming Chair Mat</t>
  </si>
  <si>
    <t xml:space="preserve"> Alpha Gamer Maya Black</t>
  </si>
  <si>
    <t>5600413205389</t>
  </si>
  <si>
    <t xml:space="preserve"> Alpha Gamer Maya Black /red</t>
  </si>
  <si>
    <t>5600413205396</t>
  </si>
  <si>
    <t xml:space="preserve"> Alpha Gamer Maya Black / blue</t>
  </si>
  <si>
    <t>Alpha Gamer Stella Black-Cadeira em malha</t>
  </si>
  <si>
    <t>Alpha Gamer Stella Grey-Cadeira em malha</t>
  </si>
  <si>
    <t>Alpha Gamer Stella white /Grey-Cadeira em malha</t>
  </si>
  <si>
    <t>Alpha Gamer lris-Cadeira em malha</t>
  </si>
  <si>
    <t>Alpha Gamer Astrid-cadeira em malha</t>
  </si>
  <si>
    <t>wheels</t>
    <phoneticPr fontId="0" type="noConversion"/>
  </si>
  <si>
    <t>MS-116</t>
    <phoneticPr fontId="0" type="noConversion"/>
  </si>
  <si>
    <t>MR-60P-16</t>
    <phoneticPr fontId="0" type="noConversion"/>
  </si>
  <si>
    <t>MR-65Y-05</t>
    <phoneticPr fontId="0" type="noConversion"/>
  </si>
  <si>
    <t>MR-60M-06</t>
    <phoneticPr fontId="0" type="noConversion"/>
  </si>
  <si>
    <t>RODAS</t>
  </si>
  <si>
    <t>Companhia</t>
  </si>
  <si>
    <t>Hapag Lloyd</t>
  </si>
  <si>
    <t>Maersk</t>
  </si>
  <si>
    <t>CMACGM</t>
  </si>
  <si>
    <t>ONE</t>
  </si>
  <si>
    <t>MRSU7112185</t>
  </si>
  <si>
    <t>CN4649997</t>
  </si>
  <si>
    <t>CMAU7035404</t>
  </si>
  <si>
    <t>M6794095</t>
  </si>
  <si>
    <t>CNDT06184</t>
  </si>
  <si>
    <t>CMAU6742059</t>
  </si>
  <si>
    <t>M6793376</t>
  </si>
  <si>
    <t>PTAG11-640</t>
  </si>
  <si>
    <t>5600413205747</t>
  </si>
  <si>
    <t>MRSU3054645</t>
  </si>
  <si>
    <t>MSMU6056997</t>
  </si>
  <si>
    <t>PTAG11-635</t>
  </si>
  <si>
    <t xml:space="preserve">JR1055-69 </t>
  </si>
  <si>
    <t>MSC</t>
  </si>
  <si>
    <t>CN4606494</t>
  </si>
  <si>
    <t>FX45118318</t>
  </si>
  <si>
    <t>TCNU7813630</t>
  </si>
  <si>
    <t>HW137-2406-2</t>
  </si>
  <si>
    <t>AGATENA-BK</t>
  </si>
  <si>
    <t>AGATENA-BK-RED</t>
  </si>
  <si>
    <t>AGGAIA-DK-GREY-OR-V2</t>
  </si>
  <si>
    <t>Alpha Gamer Gaia-Dark Grey V2</t>
  </si>
  <si>
    <t>Alpha Gamer Atena- Black</t>
  </si>
  <si>
    <t>Alpha Gamer Atena-Black/Red</t>
  </si>
  <si>
    <t>Alpha Gamer Galaxa-Fabric Grey/Black</t>
  </si>
  <si>
    <t>Alpha Gamer Galaxa -pu Black</t>
  </si>
  <si>
    <t>Alpha Gamer Zeta -white/ Black</t>
  </si>
  <si>
    <t>Alpha Gamer Gaia -Dark Grey/Orange V2</t>
  </si>
  <si>
    <t>Alpha Gamer Gaia -Dark Grey/ white V2</t>
  </si>
  <si>
    <t>Alpha Gamer Gaia -Light Grey/ white V2</t>
  </si>
  <si>
    <t>5600413205303</t>
  </si>
  <si>
    <t>5600413205310</t>
  </si>
  <si>
    <t>5600413207116</t>
  </si>
  <si>
    <t xml:space="preserve">FJMPC </t>
  </si>
  <si>
    <t>FJMPC / Nuno</t>
  </si>
  <si>
    <t>M8113937</t>
  </si>
  <si>
    <t>M8113760</t>
  </si>
  <si>
    <t>M8113990</t>
  </si>
  <si>
    <t>M8113984</t>
  </si>
  <si>
    <t>M8113936</t>
  </si>
  <si>
    <t>M8120280</t>
  </si>
  <si>
    <t>FX45639555</t>
  </si>
  <si>
    <t>CNDT06033</t>
  </si>
  <si>
    <t>CMAU6149465</t>
  </si>
  <si>
    <t>26SM03003</t>
  </si>
  <si>
    <t>CAIXAS ATLAS</t>
  </si>
  <si>
    <t>Caixas / Combo 1life</t>
  </si>
  <si>
    <t>NXINFTYBETA</t>
  </si>
  <si>
    <t>8436587974892</t>
  </si>
  <si>
    <t>Nox Infinity Beta Airflow ATX Chassis</t>
  </si>
  <si>
    <t>NXHUMMERVSNBK</t>
  </si>
  <si>
    <t>8436587974625</t>
  </si>
  <si>
    <t>Nox Hummer Vision Black Mid Tower USB 3.0</t>
  </si>
  <si>
    <t>NXHUMMERGLOCKWH</t>
  </si>
  <si>
    <t>8436587974854</t>
  </si>
  <si>
    <t>Nox Hummer Glock Frameless Glass Mid Tower White</t>
  </si>
  <si>
    <t>NXHUMMERGLOCKBK</t>
  </si>
  <si>
    <t>8436587974847</t>
  </si>
  <si>
    <t>Nox Hummer Glock Frameless Glass Mid Tower Black</t>
  </si>
  <si>
    <t>NXINFTYEPSILON</t>
  </si>
  <si>
    <t>8436587974205</t>
  </si>
  <si>
    <t>Nox Infinity Epsilon RGB M-ATX Chassis</t>
  </si>
  <si>
    <t>NXHUMMERVOID</t>
  </si>
  <si>
    <t>8436587970399</t>
  </si>
  <si>
    <t>Nox Hummer Void ATX Silent Case</t>
  </si>
  <si>
    <t>1IFEKBBASEKITPT</t>
  </si>
  <si>
    <t>5600413203736</t>
  </si>
  <si>
    <t>1Life kb:base kit</t>
  </si>
  <si>
    <t>1IFETECUFBTPTBK</t>
  </si>
  <si>
    <t>5600413206768</t>
  </si>
  <si>
    <t>1Life teclado ultrafino Bluetooth PT BK</t>
  </si>
  <si>
    <t>M9319541</t>
  </si>
  <si>
    <t>CAIU9472020</t>
  </si>
  <si>
    <t>UETU5559061</t>
  </si>
  <si>
    <t>M3303262</t>
  </si>
  <si>
    <t>M3303269</t>
  </si>
  <si>
    <t>JR1055-70</t>
  </si>
  <si>
    <t>Alpha Gamer Iris - Cadeira em malha</t>
  </si>
  <si>
    <t>Offy Lyca White - Cadeira de escritório em malha</t>
  </si>
  <si>
    <t>Offy Lyma Grey</t>
  </si>
  <si>
    <t>TCLU6374264</t>
  </si>
  <si>
    <t>M3303102</t>
  </si>
  <si>
    <t>JR1055-71</t>
  </si>
  <si>
    <t>Worten 4</t>
  </si>
  <si>
    <t>MSMU8426391</t>
  </si>
  <si>
    <t>FX44556037</t>
  </si>
  <si>
    <t>Sines</t>
  </si>
  <si>
    <t>PTAG11-642</t>
  </si>
  <si>
    <t>Cadeiras Selecção</t>
  </si>
  <si>
    <t>AGPTGC26</t>
  </si>
  <si>
    <t>Alpha Gamer Portugal 26</t>
  </si>
  <si>
    <t>TCNU3717752</t>
  </si>
  <si>
    <t>TLLU4428396</t>
  </si>
  <si>
    <t>TCNU3632887</t>
  </si>
  <si>
    <t>CMAU7447870</t>
  </si>
  <si>
    <t>M8355870</t>
  </si>
  <si>
    <t>M8355861</t>
  </si>
  <si>
    <t>M9652378</t>
  </si>
  <si>
    <t>M9652379</t>
  </si>
  <si>
    <t>PTAG11-652</t>
  </si>
  <si>
    <t>PTAG11-653</t>
  </si>
  <si>
    <t>PTAG11-654</t>
  </si>
  <si>
    <t>PTAG11-605</t>
  </si>
  <si>
    <t>Worten 2</t>
  </si>
  <si>
    <t>Worten 3</t>
  </si>
  <si>
    <t>Worten 5</t>
  </si>
  <si>
    <t>Worten 1</t>
  </si>
  <si>
    <t>PTAG11-651</t>
  </si>
  <si>
    <t>Worten 2025</t>
  </si>
  <si>
    <t>TCLU8910094</t>
  </si>
  <si>
    <t>M3304629</t>
  </si>
  <si>
    <t>5600413207963</t>
  </si>
  <si>
    <t>5600413207970</t>
  </si>
  <si>
    <t>5600413207987</t>
  </si>
  <si>
    <t>5600413207826</t>
  </si>
  <si>
    <t>5600413207833</t>
  </si>
  <si>
    <t>DDDU5046665</t>
  </si>
  <si>
    <t>AGNEBULA-GRY-BL</t>
  </si>
  <si>
    <t>Alpha Gamer Nebula master Grey/Blue</t>
  </si>
  <si>
    <t>AGTERION-FB-GRY</t>
  </si>
  <si>
    <t>5600413204504</t>
  </si>
  <si>
    <t>Alpha Gamer Terion - Fabric Grey</t>
  </si>
  <si>
    <t>Julho</t>
  </si>
  <si>
    <t>Agosto</t>
  </si>
  <si>
    <t>M9472188</t>
  </si>
  <si>
    <t xml:space="preserve">UE10120923 FJMPC-2601 </t>
  </si>
  <si>
    <t>PTAG11-655</t>
  </si>
  <si>
    <t>PTAG11-656</t>
  </si>
  <si>
    <t>Worten 6</t>
  </si>
  <si>
    <t>Worten 7</t>
  </si>
  <si>
    <t>KKFU7935971</t>
  </si>
  <si>
    <t>SEGU5176476</t>
  </si>
  <si>
    <t>SHENZHEN KEYCEO TECH CO.,LIMITED</t>
  </si>
  <si>
    <t>20DV</t>
  </si>
  <si>
    <t>FCIU3873512</t>
  </si>
  <si>
    <t>KY26KE027</t>
  </si>
  <si>
    <t>Ratos Teclos OFFY</t>
  </si>
  <si>
    <t>OFFYPIXIEMINIPT</t>
  </si>
  <si>
    <t>5600413207499</t>
  </si>
  <si>
    <t>Offy Pixie Mini Wireless / Bluetooth Keyboard PT</t>
  </si>
  <si>
    <t>OFFYPIXIEPT</t>
  </si>
  <si>
    <t>5600413207482</t>
  </si>
  <si>
    <t>Offy Pixie Wireless / Bluetooth Keyboard PT</t>
  </si>
  <si>
    <t>OFFYFLEXIMINIPT</t>
  </si>
  <si>
    <t>5600413207475</t>
  </si>
  <si>
    <t>Offy Flexi Mini Wireless / Bluetooth Keyboard PT</t>
  </si>
  <si>
    <t>OFFYFLEXIPT</t>
  </si>
  <si>
    <t>5600413207468</t>
  </si>
  <si>
    <t>Offy Flexi Wireless / Bluetooth Keyboard PT</t>
  </si>
  <si>
    <t>OFFYFLEXIMIDPT</t>
  </si>
  <si>
    <t>Offy Flexi Mid Wireless / Bluetooth Keyboard PT</t>
  </si>
  <si>
    <t>OFFYPIXIETABPT</t>
  </si>
  <si>
    <t>Offy Pixie Tab Wireless / Bluetooth Keyboard PT</t>
  </si>
  <si>
    <t>OFFYNEXO</t>
  </si>
  <si>
    <t>5600413207413</t>
  </si>
  <si>
    <t>Offy Nexo Wireless / Bluetooth Ergonomic Mouse 4800 DPI</t>
  </si>
  <si>
    <t>OFFYVEXI</t>
  </si>
  <si>
    <t>5600413207420</t>
  </si>
  <si>
    <t>Offy Vexi Wireless / Bluetooth Ergonomic Vertical Mouse 4800 DPI</t>
  </si>
  <si>
    <t>OFFYLEXI</t>
  </si>
  <si>
    <t>Offy Lexi Wireless / Bluetooth Mouse 4800 DPI</t>
  </si>
  <si>
    <t>OFFYAXIO</t>
  </si>
  <si>
    <t>Offy Axio Wireless / Bluetooth Ergonomic Mouse 4800 DPI</t>
  </si>
  <si>
    <t>OFFYNEXOWT</t>
  </si>
  <si>
    <t>Offy Nexo Wireless / Bluetooth Ergonomic Mouse 4800 DPI - White</t>
  </si>
  <si>
    <t>OFFYOPTIXPRO</t>
  </si>
  <si>
    <t>Offy Optix Pro 4K UHD 2160P Webcam</t>
  </si>
  <si>
    <t>OFFYOPTIX</t>
  </si>
  <si>
    <t>Offy Optix FHD 1080P Webcam</t>
  </si>
  <si>
    <t>NOVIDADE</t>
  </si>
  <si>
    <t>ANJI HAIWEI SMART FURNITURE TECHNOLOGY CO., LTD</t>
  </si>
  <si>
    <t>NYKU0846132</t>
  </si>
  <si>
    <t xml:space="preserve">HW137-2408-1 </t>
  </si>
  <si>
    <t>MESAS</t>
  </si>
  <si>
    <t>5600413207338</t>
  </si>
  <si>
    <t>5600413207321</t>
  </si>
  <si>
    <t>5600413207307</t>
  </si>
  <si>
    <t>AGZORYAPRORGBBK</t>
  </si>
  <si>
    <t>5600413208151</t>
  </si>
  <si>
    <t>Alpha Gamer Zorya Pro RGB Black - Secretaria Gaming Altura Regulável</t>
  </si>
  <si>
    <t>AGZORYAPRORGBWT</t>
  </si>
  <si>
    <t>5600413208168</t>
  </si>
  <si>
    <t>Alpha Gamer Zorya Pro RGB White - Secretaria Gaming Altura Regulável</t>
  </si>
  <si>
    <t>CN51065BC</t>
  </si>
  <si>
    <t>TRHU4608301</t>
  </si>
  <si>
    <t>JR1055-77</t>
  </si>
  <si>
    <t>PC Diga Agosto</t>
  </si>
  <si>
    <t>Offy Lyma - Cadeira de escritório em malha</t>
  </si>
  <si>
    <t>ONEU1030860</t>
  </si>
  <si>
    <t>JR1055-76A</t>
  </si>
  <si>
    <t>Cadeiras Mesh / Suportes monitor Alpha Gamer</t>
  </si>
  <si>
    <t>OFFYPRISMABK</t>
  </si>
  <si>
    <t>OFFYPRISMAWTPK</t>
  </si>
  <si>
    <t>OFFYPRISMAWTTQ</t>
  </si>
  <si>
    <t>OFFYPRISMAWTGRY</t>
  </si>
  <si>
    <t>OFFYPRISMAWTBG</t>
  </si>
  <si>
    <t>OFFYLYCABKBK</t>
  </si>
  <si>
    <t>PCDIGA</t>
  </si>
  <si>
    <t>Alpha Gamer Tide Black PCDIGA EDITION</t>
  </si>
  <si>
    <t>AGNAVIDRGB</t>
  </si>
  <si>
    <t>5600413206225</t>
  </si>
  <si>
    <t>Alpha Gamer Navi Heavy-Duty Dual Monitor RGB</t>
  </si>
  <si>
    <t>S/NINGBO XINLU</t>
  </si>
  <si>
    <t>ALP-003</t>
  </si>
  <si>
    <t>Alegra Evo Novas cores</t>
  </si>
  <si>
    <t>TCNU5901856</t>
  </si>
  <si>
    <t>AGALEGRAEVOBLDF</t>
  </si>
  <si>
    <t>AGALEGRAEVOSBKF</t>
  </si>
  <si>
    <t>AGALEGRAEVOGRYSF</t>
  </si>
  <si>
    <t>AGALEGRAEVOMBKPU</t>
  </si>
  <si>
    <t>AGALEGRAEVOTGRYPU</t>
  </si>
  <si>
    <t>AGALEGRAEVOSGRYF</t>
  </si>
  <si>
    <t>Alpha Gamer Alegra Evo - Blue Dusk Fabric</t>
  </si>
  <si>
    <t>Alpha Gamer Alegra Evo - Shadow Black Fabric</t>
  </si>
  <si>
    <t>Alpha Gamer Alegra Evo - Grey Storm Fabric</t>
  </si>
  <si>
    <t>Alpha Gamer Alegra Evo - Midnight Black PU</t>
  </si>
  <si>
    <t>Alpha Gamer Alegra Evo - Titanium Grey PU</t>
  </si>
  <si>
    <t>Alpha Gamer Alegra Evo - Smoke Grey Fabric</t>
  </si>
  <si>
    <t>AGYARAWTPU</t>
  </si>
  <si>
    <t>Tapetes cadeira</t>
  </si>
  <si>
    <t>custo em dolar</t>
  </si>
  <si>
    <t>100x100x3MM</t>
  </si>
  <si>
    <t>140x60x75cm ??</t>
  </si>
  <si>
    <t>AGRAYAV2</t>
  </si>
  <si>
    <t>5600413205556</t>
  </si>
  <si>
    <t>Alpha Gamer Raya V2 - Gaming Table</t>
  </si>
  <si>
    <t>100x60x75cm</t>
  </si>
  <si>
    <t>AGKIRAV3</t>
  </si>
  <si>
    <t>5600413205563</t>
  </si>
  <si>
    <t>Alpha Gamer Kira V3 - Gaming Table</t>
  </si>
  <si>
    <t>140x60x75cm</t>
  </si>
  <si>
    <t>140x71x75-120cm</t>
  </si>
  <si>
    <t>AGZORYARGBWT</t>
  </si>
  <si>
    <t>5600413207314</t>
  </si>
  <si>
    <t>Alpha Gamer Zorya RGB White - Secretaria Gaming Altura Regulável</t>
  </si>
  <si>
    <t>160x71x75-120cm</t>
  </si>
  <si>
    <t>AGSTARLARGBWT</t>
  </si>
  <si>
    <t>5600413207352</t>
  </si>
  <si>
    <t>Alpha Gamer Starla RGB White - Secretária Gaming</t>
  </si>
  <si>
    <t>140x71x75cm</t>
  </si>
  <si>
    <t>5600413207345</t>
  </si>
  <si>
    <t>Alpha Gamer Starla RGB Black - Secretária Gaming</t>
  </si>
  <si>
    <t>Acessorios</t>
  </si>
  <si>
    <t>AGFBCLEANER</t>
  </si>
  <si>
    <t>5600413207178</t>
  </si>
  <si>
    <t>Alpha Gamer Fabric Cleaner</t>
  </si>
  <si>
    <t>AGPULTHRCLEANER</t>
  </si>
  <si>
    <t>5600413207185</t>
  </si>
  <si>
    <t>Alpha Gamer Leather Cleaner</t>
  </si>
  <si>
    <t>AGNAVIRGB</t>
  </si>
  <si>
    <t>5600413206218</t>
  </si>
  <si>
    <t>Alpha Gamer Navi Heavy-Duty Single Monitor RGB</t>
  </si>
  <si>
    <t>Alpha Gamer Swell Black - UE RC-1171E (Flow 360)</t>
  </si>
  <si>
    <t>Alpha Gamer Swell Grey - UE RC-1171E (Flow 360)</t>
  </si>
  <si>
    <t>Alpha Gamer Swell White / Grey - UE RC-1171E (Flow 360)</t>
  </si>
  <si>
    <t>Alpha Gamer Tide Black- UE RC-1161E</t>
  </si>
  <si>
    <t>Alpha Gamer Tide Grey - UE RC-1161E</t>
  </si>
  <si>
    <t>Alpha Gamer Mist - UE RC-1109E</t>
  </si>
  <si>
    <t>Alpha Gamer Mist Black / Grey - UE RC-1109E</t>
  </si>
  <si>
    <t>Alpha Gamer Wave Black | UE MC-1152E</t>
  </si>
  <si>
    <t>Alpha Gamer Wave Black / Grey | UE MC-1152E</t>
  </si>
  <si>
    <t>Yara</t>
  </si>
  <si>
    <t>AGYARADKGRYFB</t>
  </si>
  <si>
    <t>Alpha Gamer Yara Dark Grey Fabric</t>
  </si>
  <si>
    <t>AGYARALTGRYFB</t>
  </si>
  <si>
    <t>Alpha Gamer Yara Light Grey Fabric</t>
  </si>
  <si>
    <t>AGYARABKFB</t>
  </si>
  <si>
    <t>Alpha Gamer Yara Black Fabric</t>
  </si>
  <si>
    <t>AGYARABKPU</t>
  </si>
  <si>
    <t>Alpha Gamer Yara Black PU</t>
  </si>
  <si>
    <t>Alpha Gamer Yara White PU</t>
  </si>
  <si>
    <t>Vectra</t>
  </si>
  <si>
    <t>AGVECTRADKGRYFB</t>
  </si>
  <si>
    <t>Alpha Gamer Vectra Dark Grey Fabric</t>
  </si>
  <si>
    <t>AGVECTRALTGRYFB</t>
  </si>
  <si>
    <t>Alpha Gamer Vectra Light Grey Fabric</t>
  </si>
  <si>
    <t>AGVECTRABKPU</t>
  </si>
  <si>
    <t>Alpha Gamer Vectra Black PU</t>
  </si>
  <si>
    <t>AGVECTRAWTPU</t>
  </si>
  <si>
    <t>Alpha Gamer Vectra White PU</t>
  </si>
  <si>
    <t>Alegra Evo</t>
  </si>
  <si>
    <t>AGALEGRAEVOFWTPU</t>
  </si>
  <si>
    <t>Alpha Gamer Alegra Evo - Frost White PU</t>
  </si>
  <si>
    <t>AGALEGRAEVOSGRNF</t>
  </si>
  <si>
    <t>Alpha Gamer Alegra Evo - Sage Green Fabric</t>
  </si>
  <si>
    <t>AGALEGRAEVOLVHF</t>
  </si>
  <si>
    <t>Alpha Gamer Alegra Evo - Lavender Haze Fabric</t>
  </si>
  <si>
    <t>Alegra Pro</t>
  </si>
  <si>
    <t>AGALEGRAPROSGRYF</t>
  </si>
  <si>
    <t>Alpha Gamer Alegra Pro - Smoke Grey Fabric</t>
  </si>
  <si>
    <t>AGALEGRAPROSTBKF</t>
  </si>
  <si>
    <t>Alpha Gamer Alegra Pro - Stealth Black Fabric</t>
  </si>
  <si>
    <t>Alegra Lite</t>
  </si>
  <si>
    <t>AGALEGRALITESGRYF</t>
  </si>
  <si>
    <t>Alpha Gamer Alegra Lite - Smoke Grey Fabric</t>
  </si>
  <si>
    <t>AGALEGRALITESTBKF</t>
  </si>
  <si>
    <t>Alpha Gamer Alegra Lite - Stealth Black Fabric</t>
  </si>
  <si>
    <t>Cyra</t>
  </si>
  <si>
    <t>AGCYRA-BK-RED</t>
  </si>
  <si>
    <t>Alpha Gamer Cyra - Black / Red</t>
  </si>
  <si>
    <t>Alpha Gamer Cyra - Black / Blue</t>
  </si>
  <si>
    <t>AGCYRA-BK</t>
  </si>
  <si>
    <t>Alpha Gamer Cyra - Black</t>
  </si>
  <si>
    <t>AGCYRA-WHT-BK</t>
  </si>
  <si>
    <t>Alpha Gamer Cyra - PU leather White</t>
  </si>
  <si>
    <t>MAYA (novidade)</t>
  </si>
  <si>
    <t>Zeta</t>
  </si>
  <si>
    <t>AGZETA-BK-BL</t>
  </si>
  <si>
    <t>5600413203828</t>
  </si>
  <si>
    <t>Alpha Gamer Zeta Black/Blue</t>
  </si>
  <si>
    <t>GAMA VEGA</t>
  </si>
  <si>
    <t>AGVEGA-BK-Y</t>
  </si>
  <si>
    <t>5600413202166</t>
  </si>
  <si>
    <t>Alpha Gamer Vega Black / Yellow</t>
  </si>
  <si>
    <t>AGVEGA-BK-GRN</t>
  </si>
  <si>
    <t>5600413202135</t>
  </si>
  <si>
    <t>Alpha Gamer Vega Black / Green</t>
  </si>
  <si>
    <t>AGVEGA-BK-BL</t>
  </si>
  <si>
    <t>5600413202128</t>
  </si>
  <si>
    <t>Alpha Gamer Vega Black / Blue</t>
  </si>
  <si>
    <t>AGVEGA-BK-O</t>
  </si>
  <si>
    <t>5600413202142</t>
  </si>
  <si>
    <t>Alpha Gamer Vega Black / Orange</t>
  </si>
  <si>
    <t>AGVEGA-BK-R</t>
  </si>
  <si>
    <t>5600413202159</t>
  </si>
  <si>
    <t>Alpha Gamer Vega Black / Red</t>
  </si>
  <si>
    <t>AGVEGA-BK</t>
  </si>
  <si>
    <t>5600413202111</t>
  </si>
  <si>
    <t>Alpha Gamer Vega Black</t>
  </si>
  <si>
    <t>GAIA SERIES</t>
  </si>
  <si>
    <t>Alpha Gamer Gaia - Dark Grey / Orange V2</t>
  </si>
  <si>
    <t>Atena</t>
  </si>
  <si>
    <t>Alpha Gamer Atena - Black</t>
  </si>
  <si>
    <t>AGATENA-WHT-BK</t>
  </si>
  <si>
    <t>5600413205327</t>
  </si>
  <si>
    <t>Alpha Gamer Atena - White / Black</t>
  </si>
  <si>
    <t>Alpha Gamer Atena - Black / Red</t>
  </si>
  <si>
    <t>Nysa</t>
  </si>
  <si>
    <t>AGNYSA-WHT-BK</t>
  </si>
  <si>
    <t>5600413205495</t>
  </si>
  <si>
    <t>Alpha Gamer Nysa - White / Black</t>
  </si>
  <si>
    <t>AGNYSA-BK-RED</t>
  </si>
  <si>
    <t>5600413205464</t>
  </si>
  <si>
    <t>Alpha Gamer Nysa - Black / Red</t>
  </si>
  <si>
    <t>AGNYSA-BK-BLUE</t>
  </si>
  <si>
    <t>Alpha Gamer Nysa - Black / Blue</t>
  </si>
  <si>
    <t>Cygnus RGB</t>
  </si>
  <si>
    <t>GALAXA SERIES</t>
  </si>
  <si>
    <t>NEBULA MASTER SERIES</t>
  </si>
  <si>
    <t>Therion</t>
  </si>
  <si>
    <t>AGTERION-W-BK</t>
  </si>
  <si>
    <t>5600413204344</t>
  </si>
  <si>
    <t>Alpha Gamer Terion - White / Black</t>
  </si>
  <si>
    <t>AGTERION-BK-R</t>
  </si>
  <si>
    <t>5600413204320</t>
  </si>
  <si>
    <t>Alpha Gamer Terion - Black / Red</t>
  </si>
  <si>
    <t>AGTERION-BK-GRY</t>
  </si>
  <si>
    <t>5600413204238</t>
  </si>
  <si>
    <t>Alpha Gamer Terion - Black / Grey</t>
  </si>
  <si>
    <t>NEBULA XL MASTER SERIES</t>
  </si>
  <si>
    <t>AGNEBULAXLV2</t>
  </si>
  <si>
    <t>5600413206997</t>
  </si>
  <si>
    <t>Alpha Gamer Nebula XL V2</t>
  </si>
  <si>
    <t>ALEGRA PU Leather</t>
  </si>
  <si>
    <t>ALEGRA FABRIC SERIES</t>
  </si>
  <si>
    <t>AGALEGRA-F-YL-V2</t>
  </si>
  <si>
    <t>Alpha Gamer Alegra - Fabric Yellow / Black V2</t>
  </si>
  <si>
    <t>AGALEGRA-F-OR-V2</t>
  </si>
  <si>
    <t>Alpha Gamer Alegra - Fabric Orange / Black V2</t>
  </si>
  <si>
    <t>AGALEGRA-F-GRN-V2</t>
  </si>
  <si>
    <t>Alpha Gamer Alegra - Fabric Green / Black V2</t>
  </si>
  <si>
    <t>AGALEGRA-F-BL-V2</t>
  </si>
  <si>
    <t>Alpha Gamer Alegra - Fabric Blue / Black V2</t>
  </si>
  <si>
    <t>AGALEGRA-F-PK-V2</t>
  </si>
  <si>
    <t>Alpha Gamer Alegra - Fabric Pink / Black V2</t>
  </si>
  <si>
    <t xml:space="preserve"> PHENIX FABRIC SERIES</t>
  </si>
  <si>
    <t>AGPHENIX-F-GRY-BK-BL</t>
  </si>
  <si>
    <t>5600413204832</t>
  </si>
  <si>
    <t>Alpha Gamer Phenix - Fabric Grey / Black / Blue</t>
  </si>
  <si>
    <t>AGPHENIX-F-GRY-BK</t>
  </si>
  <si>
    <t>5600413204818</t>
  </si>
  <si>
    <t>Alpha Gamer Phenix - Fabric Grey / Black</t>
  </si>
  <si>
    <t>AGPHENIX-F-GRY-BK-O</t>
  </si>
  <si>
    <t>5600413204825</t>
  </si>
  <si>
    <t>Alpha Gamer Phenix - Fabric Grey / Black / Orange</t>
  </si>
  <si>
    <t>PHENIX  PU leather</t>
  </si>
  <si>
    <t>AGPHENIX-PUL-BK-GRY</t>
  </si>
  <si>
    <t>5600413204849</t>
  </si>
  <si>
    <t>Alpha Gamer Phenix - PU Leather Black / Grey</t>
  </si>
  <si>
    <t>FPF</t>
  </si>
  <si>
    <t>AGFPF</t>
  </si>
  <si>
    <t>5600413204092</t>
  </si>
  <si>
    <t>Alpha Gamer FPF</t>
  </si>
  <si>
    <t>AGNIMBUSBKRED</t>
  </si>
  <si>
    <t>5600413204269</t>
  </si>
  <si>
    <t>Alpha Gamer Nimbus Black / Red</t>
  </si>
  <si>
    <t>Alpha Gamer Nimbus Black / Grey</t>
  </si>
  <si>
    <t>Produtos</t>
  </si>
  <si>
    <t>5600413207512</t>
  </si>
  <si>
    <t xml:space="preserve">Offy Ryva White / Oak - Secretária Elevatoria Eléctrica </t>
  </si>
  <si>
    <t>5600413207291</t>
  </si>
  <si>
    <t xml:space="preserve">Offy Ryva Oak - Secretária Elevatoria Eléctrica </t>
  </si>
  <si>
    <t>5600413207284</t>
  </si>
  <si>
    <t xml:space="preserve">Offy Ryva Black - Secretária Elevatoria Eléctrica </t>
  </si>
  <si>
    <t>OFFYRYVAWTOK</t>
  </si>
  <si>
    <t>OFFYRYVAOK</t>
  </si>
  <si>
    <t>OFFYRYVABK</t>
  </si>
  <si>
    <t>OFFYROXYWT</t>
  </si>
  <si>
    <t>5600413207772</t>
  </si>
  <si>
    <t>Offy Roxy White - Desk pegboard with monitor support</t>
  </si>
  <si>
    <t>OFFYROXYBK</t>
  </si>
  <si>
    <t>5600413207765</t>
  </si>
  <si>
    <t>Offy Roxy Black - Desk pegboard with monitor support</t>
  </si>
  <si>
    <t>OFFYELYA</t>
  </si>
  <si>
    <t>5600413206331</t>
  </si>
  <si>
    <t>Offy Elya - Cadeira de Escritório em Malha</t>
  </si>
  <si>
    <t>5600413208540</t>
  </si>
  <si>
    <t>Offy Prisma Ergonomic Office Chair Black</t>
  </si>
  <si>
    <t>5600413208557</t>
  </si>
  <si>
    <t>Offy Prisma Ergonomic Office Chair White / Pink</t>
  </si>
  <si>
    <t>5600413208564</t>
  </si>
  <si>
    <t>Offy Prisma Ergonomic Office Chair White / Turquoise</t>
  </si>
  <si>
    <t>5600413208571</t>
  </si>
  <si>
    <t>Offy Prisma Ergonomic Office Chair White / Grey</t>
  </si>
  <si>
    <t>5600413208588</t>
  </si>
  <si>
    <t>Offy Prisma Ergonomic Office Chair White / Beige</t>
  </si>
  <si>
    <t>OFFYPRYABK</t>
  </si>
  <si>
    <t>Offy Prya Ergonomic Office Chair Black</t>
  </si>
  <si>
    <t>OFFYSENABK</t>
  </si>
  <si>
    <t>Offy Sena Ergonomic Office Chair Black</t>
  </si>
  <si>
    <t>OFFYRYTABK</t>
  </si>
  <si>
    <t>Offy Ryta Ergonomic Office Chair Black</t>
  </si>
  <si>
    <t>7 usd em cinza</t>
  </si>
  <si>
    <t>OFFYONDABK</t>
  </si>
  <si>
    <t>Offy Onda Ergonomic Office Chair Black</t>
  </si>
  <si>
    <t>PVPR</t>
  </si>
  <si>
    <t>ZLDLUMINON</t>
  </si>
  <si>
    <t>5600413206812</t>
  </si>
  <si>
    <t>Zolyd Luminon - ARGB Dual 200mm Fan E-ATX</t>
  </si>
  <si>
    <t>ZLDVEXORAWT</t>
  </si>
  <si>
    <t>5600413206782</t>
  </si>
  <si>
    <t>Zolyd Vexora White - Caixa PC ATX</t>
  </si>
  <si>
    <t>ZLDVEXORABK</t>
  </si>
  <si>
    <t>5600413206775</t>
  </si>
  <si>
    <t>Zolyd Vexora Black - Caixa PC ATX</t>
  </si>
  <si>
    <t>ZLDXYNDORA</t>
  </si>
  <si>
    <t>5600413206829</t>
  </si>
  <si>
    <t>Zolyd Xyndora - Caixa PC Mini-ITX PSU 200W</t>
  </si>
  <si>
    <t>ZLDVILORIAN</t>
  </si>
  <si>
    <t>5600413206836</t>
  </si>
  <si>
    <t>Zolyd Vilorian - ATX Silent Case</t>
  </si>
  <si>
    <t>ZLDNEXYLA</t>
  </si>
  <si>
    <t>5600413206805</t>
  </si>
  <si>
    <t>Zolyd Nexyla - Caixa PC E-ATX PSU 550W 80+ Bronze</t>
  </si>
  <si>
    <t>ZLDDRAKORA</t>
  </si>
  <si>
    <t>5600413207215</t>
  </si>
  <si>
    <t>Zolyd Drakora - Full Mirror ATX Case ARGB</t>
  </si>
  <si>
    <t>ZLDDYNARIABK</t>
  </si>
  <si>
    <t>5600413207192</t>
  </si>
  <si>
    <t>Zolyd Dynaria - ATX Elegant Wooden PC Case Black</t>
  </si>
  <si>
    <t>ZLDDYNARIAWT</t>
  </si>
  <si>
    <t>5600413207208</t>
  </si>
  <si>
    <t>Zolyd Dynaria - ATX Elegant Wooden PC Case White</t>
  </si>
  <si>
    <t>ZLDKRYTERABK</t>
  </si>
  <si>
    <t>5600413207222</t>
  </si>
  <si>
    <t>Zolyd Krytera Black - Rounded Glass ARGB ATX Case</t>
  </si>
  <si>
    <t>ZLDKRYTERAWT</t>
  </si>
  <si>
    <t>5600413207239</t>
  </si>
  <si>
    <t>Zolyd Krytera White - Rounded Glass ARGB ATX Case</t>
  </si>
  <si>
    <t>ZLDPSASTERMX</t>
  </si>
  <si>
    <t>Zolyd Prime Series Aster MX Micro-ATX Computer Case</t>
  </si>
  <si>
    <t>ZLDPSASTER</t>
  </si>
  <si>
    <t>Zolyd Prime Series Aster ATX Computer Case</t>
  </si>
  <si>
    <t>ZLDPSSPECTRA</t>
  </si>
  <si>
    <t>Zolyd Prime Series Spectra E-ATX Computer Case</t>
  </si>
  <si>
    <t>ZLDPSAURAMX</t>
  </si>
  <si>
    <t>Zolyd Prime Series Aura MX Micro-ATX Computer Case</t>
  </si>
  <si>
    <t>ZLDPSAURA</t>
  </si>
  <si>
    <t>Zolyd Prime Series Aura ATX Computer Case</t>
  </si>
  <si>
    <t>ZLDNSVERTEX</t>
  </si>
  <si>
    <t>Zolyd Neo Series Vertex ATX Computer Case</t>
  </si>
  <si>
    <t>Produto</t>
  </si>
  <si>
    <t>Custo</t>
  </si>
  <si>
    <t>Offy Lyca Black - Cadeira de escritório em malha</t>
  </si>
  <si>
    <t/>
  </si>
  <si>
    <t>ONEU6060805</t>
  </si>
  <si>
    <t>JR1055-72</t>
  </si>
  <si>
    <t>Worten 10</t>
  </si>
  <si>
    <t>M879897</t>
  </si>
  <si>
    <t>Ready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</si>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</sst>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5" formatCode="_-[$$-409]* #,##0.00_ ;_-[$$-409]* \-#,##0.00\ ;_-[$$-409]* &quot;-&quot;??_ ;_-@_ "/>
    <numFmt numFmtId="166" formatCode="#,##0.00\ &quot;€&quot;"/>
    <numFmt numFmtId="167" formatCode="_-[$€-2]\ * #,##0.00_-;\-[$€-2]\ * #,##0.00_-;_-[$€-2]\ * &quot;-&quot;??_-;_-@_-"/>
    <numFmt numFmtId="168" formatCode="_-[$$-45C]* #,##0.00_-;\-[$$-45C]* #,##0.00_-;_-[$$-45C]* &quot;-&quot;??_-;_-@"/>
  </numFmts>
  <fonts count="55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u/>
      <sz val="2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name val="宋体"/>
      <charset val="134"/>
    </font>
    <font>
      <sz val="11"/>
      <color indexed="8"/>
      <name val="Calibri"/>
      <family val="2"/>
    </font>
    <font>
      <sz val="11"/>
      <color indexed="8"/>
      <name val="宋体"/>
      <charset val="134"/>
    </font>
    <font>
      <u/>
      <sz val="10"/>
      <color indexed="12"/>
      <name val="Arial"/>
      <family val="2"/>
    </font>
    <font>
      <sz val="11"/>
      <color rgb="FF000000"/>
      <name val="Calibri"/>
      <family val="2"/>
      <charset val="1"/>
    </font>
    <font>
      <sz val="12"/>
      <name val="Times New Roman"/>
      <family val="1"/>
    </font>
    <font>
      <sz val="12"/>
      <color indexed="8"/>
      <name val="宋体"/>
      <charset val="134"/>
    </font>
    <font>
      <sz val="11"/>
      <color theme="1"/>
      <name val="Tahoma"/>
      <family val="2"/>
    </font>
    <font>
      <u/>
      <sz val="12"/>
      <color indexed="12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b/>
      <sz val="11"/>
      <color indexed="63"/>
      <name val="宋体"/>
      <charset val="134"/>
    </font>
    <font>
      <b/>
      <sz val="18"/>
      <color indexed="62"/>
      <name val="宋体"/>
      <charset val="134"/>
    </font>
    <font>
      <sz val="11"/>
      <color indexed="42"/>
      <name val="宋体"/>
      <charset val="134"/>
    </font>
    <font>
      <i/>
      <sz val="11"/>
      <color indexed="23"/>
      <name val="宋体"/>
      <charset val="134"/>
    </font>
    <font>
      <b/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b/>
      <sz val="11"/>
      <color indexed="5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b/>
      <sz val="18"/>
      <color indexed="56"/>
      <name val="宋体"/>
      <charset val="134"/>
    </font>
    <font>
      <sz val="11"/>
      <color indexed="10"/>
      <name val="宋体"/>
      <charset val="134"/>
    </font>
    <font>
      <sz val="11"/>
      <color indexed="17"/>
      <name val="宋体"/>
      <charset val="134"/>
    </font>
    <font>
      <b/>
      <sz val="15"/>
      <color indexed="62"/>
      <name val="宋体"/>
      <charset val="134"/>
    </font>
    <font>
      <b/>
      <sz val="11"/>
      <color indexed="42"/>
      <name val="宋体"/>
      <charset val="134"/>
    </font>
    <font>
      <sz val="11"/>
      <color indexed="20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5"/>
      <color indexed="56"/>
      <name val="宋体"/>
      <charset val="134"/>
    </font>
    <font>
      <b/>
      <sz val="11"/>
      <color indexed="9"/>
      <name val="宋体"/>
      <charset val="134"/>
    </font>
    <font>
      <sz val="10"/>
      <name val="Helv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sz val="11"/>
      <name val="Arial"/>
      <family val="2"/>
    </font>
    <font>
      <sz val="10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333F4F"/>
        <bgColor rgb="FF333F4F"/>
      </patternFill>
    </fill>
    <fill>
      <patternFill patternType="solid">
        <fgColor rgb="FF92D050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47D45A"/>
      </patternFill>
    </fill>
    <fill>
      <patternFill patternType="solid">
        <fgColor rgb="FF47D45A"/>
        <bgColor rgb="FF47D45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34">
    <xf numFmtId="0" fontId="0" fillId="0" borderId="0"/>
    <xf numFmtId="0" fontId="3" fillId="0" borderId="0" applyNumberFormat="0" applyFill="0" applyBorder="0" applyAlignment="0" applyProtection="0"/>
    <xf numFmtId="0" fontId="9" fillId="0" borderId="0">
      <alignment vertical="top"/>
    </xf>
    <xf numFmtId="0" fontId="13" fillId="0" borderId="0" applyNumberFormat="0" applyFill="0" applyBorder="0" applyAlignment="0" applyProtection="0">
      <alignment vertical="top"/>
      <protection locked="0"/>
    </xf>
    <xf numFmtId="0" fontId="9" fillId="0" borderId="0">
      <alignment vertical="top"/>
    </xf>
    <xf numFmtId="0" fontId="11" fillId="0" borderId="0">
      <alignment vertical="center"/>
    </xf>
    <xf numFmtId="0" fontId="9" fillId="0" borderId="0">
      <alignment vertical="top"/>
    </xf>
    <xf numFmtId="0" fontId="8" fillId="0" borderId="0"/>
    <xf numFmtId="0" fontId="8" fillId="0" borderId="0"/>
    <xf numFmtId="0" fontId="11" fillId="0" borderId="0">
      <alignment vertical="center"/>
    </xf>
    <xf numFmtId="0" fontId="12" fillId="0" borderId="0">
      <alignment vertical="center"/>
    </xf>
    <xf numFmtId="0" fontId="14" fillId="0" borderId="0"/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 applyNumberFormat="0" applyFill="0" applyBorder="0" applyProtection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7" fillId="0" borderId="0"/>
    <xf numFmtId="0" fontId="10" fillId="0" borderId="0"/>
    <xf numFmtId="0" fontId="9" fillId="0" borderId="0">
      <alignment vertical="top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28" fillId="18" borderId="10" applyNumberFormat="0" applyAlignment="0" applyProtection="0">
      <alignment vertical="center"/>
    </xf>
    <xf numFmtId="0" fontId="40" fillId="28" borderId="11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0" fillId="13" borderId="16" applyNumberFormat="0" applyFont="0" applyAlignment="0" applyProtection="0">
      <alignment vertical="center"/>
    </xf>
    <xf numFmtId="0" fontId="21" fillId="18" borderId="17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8" fillId="12" borderId="10" applyNumberFormat="0" applyAlignment="0" applyProtection="0">
      <alignment vertical="center"/>
    </xf>
    <xf numFmtId="0" fontId="28" fillId="12" borderId="10" applyNumberFormat="0" applyAlignment="0" applyProtection="0">
      <alignment vertical="center"/>
    </xf>
    <xf numFmtId="0" fontId="28" fillId="12" borderId="10" applyNumberFormat="0" applyAlignment="0" applyProtection="0">
      <alignment vertical="center"/>
    </xf>
    <xf numFmtId="0" fontId="28" fillId="12" borderId="10" applyNumberFormat="0" applyAlignment="0" applyProtection="0">
      <alignment vertical="center"/>
    </xf>
    <xf numFmtId="0" fontId="28" fillId="12" borderId="10" applyNumberFormat="0" applyAlignment="0" applyProtection="0">
      <alignment vertical="center"/>
    </xf>
    <xf numFmtId="0" fontId="28" fillId="12" borderId="10" applyNumberFormat="0" applyAlignment="0" applyProtection="0">
      <alignment vertical="center"/>
    </xf>
    <xf numFmtId="0" fontId="28" fillId="12" borderId="10" applyNumberFormat="0" applyAlignment="0" applyProtection="0">
      <alignment vertical="center"/>
    </xf>
    <xf numFmtId="0" fontId="28" fillId="12" borderId="10" applyNumberFormat="0" applyAlignment="0" applyProtection="0">
      <alignment vertical="center"/>
    </xf>
    <xf numFmtId="0" fontId="35" fillId="28" borderId="11" applyNumberFormat="0" applyAlignment="0" applyProtection="0">
      <alignment vertical="center"/>
    </xf>
    <xf numFmtId="0" fontId="35" fillId="28" borderId="11" applyNumberFormat="0" applyAlignment="0" applyProtection="0">
      <alignment vertical="center"/>
    </xf>
    <xf numFmtId="0" fontId="35" fillId="28" borderId="11" applyNumberFormat="0" applyAlignment="0" applyProtection="0">
      <alignment vertical="center"/>
    </xf>
    <xf numFmtId="0" fontId="35" fillId="28" borderId="11" applyNumberFormat="0" applyAlignment="0" applyProtection="0">
      <alignment vertical="center"/>
    </xf>
    <xf numFmtId="0" fontId="35" fillId="28" borderId="11" applyNumberFormat="0" applyAlignment="0" applyProtection="0">
      <alignment vertical="center"/>
    </xf>
    <xf numFmtId="0" fontId="35" fillId="28" borderId="11" applyNumberFormat="0" applyAlignment="0" applyProtection="0">
      <alignment vertical="center"/>
    </xf>
    <xf numFmtId="0" fontId="35" fillId="28" borderId="11" applyNumberFormat="0" applyAlignment="0" applyProtection="0">
      <alignment vertical="center"/>
    </xf>
    <xf numFmtId="0" fontId="35" fillId="28" borderId="11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1" fillId="12" borderId="17" applyNumberFormat="0" applyAlignment="0" applyProtection="0">
      <alignment vertical="center"/>
    </xf>
    <xf numFmtId="0" fontId="21" fillId="12" borderId="17" applyNumberFormat="0" applyAlignment="0" applyProtection="0">
      <alignment vertical="center"/>
    </xf>
    <xf numFmtId="0" fontId="21" fillId="12" borderId="17" applyNumberFormat="0" applyAlignment="0" applyProtection="0">
      <alignment vertical="center"/>
    </xf>
    <xf numFmtId="0" fontId="21" fillId="12" borderId="17" applyNumberFormat="0" applyAlignment="0" applyProtection="0">
      <alignment vertical="center"/>
    </xf>
    <xf numFmtId="0" fontId="21" fillId="12" borderId="17" applyNumberFormat="0" applyAlignment="0" applyProtection="0">
      <alignment vertical="center"/>
    </xf>
    <xf numFmtId="0" fontId="21" fillId="12" borderId="17" applyNumberFormat="0" applyAlignment="0" applyProtection="0">
      <alignment vertical="center"/>
    </xf>
    <xf numFmtId="0" fontId="21" fillId="12" borderId="17" applyNumberFormat="0" applyAlignment="0" applyProtection="0">
      <alignment vertical="center"/>
    </xf>
    <xf numFmtId="0" fontId="21" fillId="12" borderId="17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41" fillId="0" borderId="0"/>
    <xf numFmtId="0" fontId="42" fillId="0" borderId="0"/>
    <xf numFmtId="0" fontId="10" fillId="13" borderId="16" applyNumberFormat="0" applyFont="0" applyAlignment="0" applyProtection="0">
      <alignment vertical="center"/>
    </xf>
    <xf numFmtId="0" fontId="10" fillId="13" borderId="16" applyNumberFormat="0" applyFont="0" applyAlignment="0" applyProtection="0">
      <alignment vertical="center"/>
    </xf>
    <xf numFmtId="0" fontId="10" fillId="13" borderId="16" applyNumberFormat="0" applyFont="0" applyAlignment="0" applyProtection="0">
      <alignment vertical="center"/>
    </xf>
    <xf numFmtId="0" fontId="10" fillId="13" borderId="16" applyNumberFormat="0" applyFont="0" applyAlignment="0" applyProtection="0">
      <alignment vertical="center"/>
    </xf>
    <xf numFmtId="0" fontId="10" fillId="13" borderId="16" applyNumberFormat="0" applyFont="0" applyAlignment="0" applyProtection="0">
      <alignment vertical="center"/>
    </xf>
    <xf numFmtId="0" fontId="10" fillId="13" borderId="16" applyNumberFormat="0" applyFont="0" applyAlignment="0" applyProtection="0">
      <alignment vertical="center"/>
    </xf>
    <xf numFmtId="0" fontId="10" fillId="13" borderId="16" applyNumberFormat="0" applyFont="0" applyAlignment="0" applyProtection="0">
      <alignment vertical="center"/>
    </xf>
    <xf numFmtId="0" fontId="10" fillId="13" borderId="16" applyNumberFormat="0" applyFont="0" applyAlignment="0" applyProtection="0">
      <alignment vertical="center"/>
    </xf>
    <xf numFmtId="0" fontId="10" fillId="0" borderId="0"/>
    <xf numFmtId="0" fontId="42" fillId="0" borderId="0"/>
    <xf numFmtId="0" fontId="10" fillId="0" borderId="0"/>
    <xf numFmtId="0" fontId="10" fillId="0" borderId="0"/>
    <xf numFmtId="0" fontId="4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0" borderId="0"/>
    <xf numFmtId="0" fontId="42" fillId="0" borderId="0"/>
  </cellStyleXfs>
  <cellXfs count="170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left" vertical="center"/>
    </xf>
    <xf numFmtId="14" fontId="2" fillId="3" borderId="2" xfId="0" applyNumberFormat="1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3" fillId="4" borderId="3" xfId="1" applyFill="1" applyBorder="1" applyAlignment="1">
      <alignment horizontal="center"/>
    </xf>
    <xf numFmtId="16" fontId="0" fillId="4" borderId="3" xfId="0" applyNumberFormat="1" applyFill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2" fontId="0" fillId="0" borderId="0" xfId="0" applyNumberFormat="1"/>
    <xf numFmtId="0" fontId="44" fillId="0" borderId="3" xfId="24" applyFont="1" applyBorder="1" applyAlignment="1">
      <alignment horizontal="center" vertical="center" wrapText="1"/>
    </xf>
    <xf numFmtId="0" fontId="44" fillId="0" borderId="22" xfId="24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/>
    </xf>
    <xf numFmtId="1" fontId="6" fillId="0" borderId="22" xfId="0" applyNumberFormat="1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" fontId="6" fillId="0" borderId="23" xfId="0" applyNumberFormat="1" applyFont="1" applyBorder="1" applyAlignment="1">
      <alignment horizontal="center"/>
    </xf>
    <xf numFmtId="0" fontId="46" fillId="0" borderId="24" xfId="0" applyFont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/>
    </xf>
    <xf numFmtId="1" fontId="6" fillId="0" borderId="24" xfId="0" applyNumberFormat="1" applyFont="1" applyBorder="1" applyAlignment="1">
      <alignment horizontal="center"/>
    </xf>
    <xf numFmtId="0" fontId="44" fillId="0" borderId="24" xfId="24" applyFont="1" applyBorder="1" applyAlignment="1">
      <alignment horizontal="center" vertical="center" wrapText="1"/>
    </xf>
    <xf numFmtId="0" fontId="0" fillId="4" borderId="24" xfId="0" applyFill="1" applyBorder="1" applyAlignment="1">
      <alignment horizontal="center"/>
    </xf>
    <xf numFmtId="164" fontId="0" fillId="4" borderId="24" xfId="0" applyNumberFormat="1" applyFill="1" applyBorder="1" applyAlignment="1">
      <alignment horizontal="center"/>
    </xf>
    <xf numFmtId="0" fontId="0" fillId="30" borderId="24" xfId="0" applyFill="1" applyBorder="1" applyAlignment="1">
      <alignment horizontal="center"/>
    </xf>
    <xf numFmtId="0" fontId="0" fillId="30" borderId="24" xfId="0" applyFill="1" applyBorder="1" applyAlignment="1">
      <alignment horizontal="center" vertical="center"/>
    </xf>
    <xf numFmtId="0" fontId="3" fillId="30" borderId="24" xfId="1" applyFill="1" applyBorder="1" applyAlignment="1">
      <alignment horizontal="center"/>
    </xf>
    <xf numFmtId="164" fontId="0" fillId="30" borderId="24" xfId="0" applyNumberFormat="1" applyFill="1" applyBorder="1" applyAlignment="1">
      <alignment horizontal="center"/>
    </xf>
    <xf numFmtId="16" fontId="0" fillId="30" borderId="24" xfId="0" applyNumberForma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1" fontId="6" fillId="4" borderId="24" xfId="0" applyNumberFormat="1" applyFont="1" applyFill="1" applyBorder="1" applyAlignment="1">
      <alignment horizontal="center"/>
    </xf>
    <xf numFmtId="0" fontId="44" fillId="4" borderId="24" xfId="24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/>
    </xf>
    <xf numFmtId="1" fontId="6" fillId="4" borderId="22" xfId="0" applyNumberFormat="1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/>
    </xf>
    <xf numFmtId="0" fontId="44" fillId="0" borderId="25" xfId="0" applyFont="1" applyBorder="1" applyAlignment="1">
      <alignment horizontal="center" vertical="center" shrinkToFit="1"/>
    </xf>
    <xf numFmtId="0" fontId="44" fillId="0" borderId="26" xfId="0" applyFont="1" applyBorder="1" applyAlignment="1">
      <alignment horizontal="center" vertical="center" shrinkToFit="1"/>
    </xf>
    <xf numFmtId="0" fontId="0" fillId="30" borderId="28" xfId="0" applyFill="1" applyBorder="1" applyAlignment="1">
      <alignment horizontal="center" vertical="center"/>
    </xf>
    <xf numFmtId="0" fontId="6" fillId="31" borderId="24" xfId="0" applyFont="1" applyFill="1" applyBorder="1" applyAlignment="1">
      <alignment horizontal="center"/>
    </xf>
    <xf numFmtId="1" fontId="6" fillId="31" borderId="24" xfId="0" applyNumberFormat="1" applyFont="1" applyFill="1" applyBorder="1" applyAlignment="1">
      <alignment horizontal="center"/>
    </xf>
    <xf numFmtId="0" fontId="44" fillId="31" borderId="24" xfId="24" applyFont="1" applyFill="1" applyBorder="1" applyAlignment="1">
      <alignment horizontal="center" vertical="center" wrapText="1"/>
    </xf>
    <xf numFmtId="0" fontId="47" fillId="4" borderId="3" xfId="0" applyFont="1" applyFill="1" applyBorder="1" applyAlignment="1">
      <alignment horizontal="center"/>
    </xf>
    <xf numFmtId="0" fontId="6" fillId="32" borderId="3" xfId="0" applyFont="1" applyFill="1" applyBorder="1" applyAlignment="1">
      <alignment horizontal="center"/>
    </xf>
    <xf numFmtId="1" fontId="6" fillId="32" borderId="3" xfId="0" applyNumberFormat="1" applyFont="1" applyFill="1" applyBorder="1" applyAlignment="1">
      <alignment horizontal="center"/>
    </xf>
    <xf numFmtId="0" fontId="6" fillId="32" borderId="24" xfId="0" applyFont="1" applyFill="1" applyBorder="1" applyAlignment="1">
      <alignment horizontal="center"/>
    </xf>
    <xf numFmtId="1" fontId="6" fillId="32" borderId="24" xfId="0" applyNumberFormat="1" applyFont="1" applyFill="1" applyBorder="1" applyAlignment="1">
      <alignment horizontal="center"/>
    </xf>
    <xf numFmtId="0" fontId="0" fillId="32" borderId="0" xfId="0" applyFill="1"/>
    <xf numFmtId="0" fontId="0" fillId="4" borderId="0" xfId="0" applyFill="1"/>
    <xf numFmtId="1" fontId="48" fillId="33" borderId="23" xfId="0" applyNumberFormat="1" applyFont="1" applyFill="1" applyBorder="1" applyAlignment="1">
      <alignment horizontal="center" vertical="center"/>
    </xf>
    <xf numFmtId="0" fontId="49" fillId="34" borderId="23" xfId="0" applyFont="1" applyFill="1" applyBorder="1" applyAlignment="1">
      <alignment horizontal="center" vertical="center"/>
    </xf>
    <xf numFmtId="0" fontId="49" fillId="34" borderId="30" xfId="0" applyFont="1" applyFill="1" applyBorder="1" applyAlignment="1">
      <alignment horizontal="center" vertical="center"/>
    </xf>
    <xf numFmtId="1" fontId="48" fillId="0" borderId="31" xfId="0" applyNumberFormat="1" applyFont="1" applyBorder="1"/>
    <xf numFmtId="0" fontId="50" fillId="0" borderId="31" xfId="0" applyFont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 wrapText="1"/>
    </xf>
    <xf numFmtId="165" fontId="51" fillId="35" borderId="3" xfId="0" applyNumberFormat="1" applyFont="1" applyFill="1" applyBorder="1" applyAlignment="1">
      <alignment horizontal="left" vertical="center"/>
    </xf>
    <xf numFmtId="1" fontId="48" fillId="0" borderId="29" xfId="0" applyNumberFormat="1" applyFont="1" applyBorder="1"/>
    <xf numFmtId="1" fontId="48" fillId="0" borderId="32" xfId="0" applyNumberFormat="1" applyFont="1" applyBorder="1" applyAlignment="1">
      <alignment horizontal="left"/>
    </xf>
    <xf numFmtId="0" fontId="50" fillId="0" borderId="33" xfId="0" applyFont="1" applyBorder="1" applyAlignment="1">
      <alignment horizontal="center" vertical="center" wrapText="1"/>
    </xf>
    <xf numFmtId="1" fontId="48" fillId="0" borderId="3" xfId="0" applyNumberFormat="1" applyFont="1" applyBorder="1"/>
    <xf numFmtId="1" fontId="48" fillId="0" borderId="33" xfId="0" applyNumberFormat="1" applyFont="1" applyBorder="1" applyAlignment="1">
      <alignment horizontal="left"/>
    </xf>
    <xf numFmtId="1" fontId="48" fillId="4" borderId="29" xfId="0" applyNumberFormat="1" applyFont="1" applyFill="1" applyBorder="1"/>
    <xf numFmtId="1" fontId="48" fillId="4" borderId="32" xfId="0" applyNumberFormat="1" applyFont="1" applyFill="1" applyBorder="1" applyAlignment="1">
      <alignment horizontal="left"/>
    </xf>
    <xf numFmtId="0" fontId="50" fillId="4" borderId="33" xfId="0" applyFont="1" applyFill="1" applyBorder="1" applyAlignment="1">
      <alignment horizontal="center" vertical="center" wrapText="1"/>
    </xf>
    <xf numFmtId="0" fontId="50" fillId="4" borderId="3" xfId="0" applyFont="1" applyFill="1" applyBorder="1" applyAlignment="1">
      <alignment horizontal="center" vertical="center" wrapText="1"/>
    </xf>
    <xf numFmtId="0" fontId="48" fillId="0" borderId="31" xfId="0" applyFont="1" applyBorder="1"/>
    <xf numFmtId="0" fontId="48" fillId="33" borderId="30" xfId="0" applyFont="1" applyFill="1" applyBorder="1" applyAlignment="1">
      <alignment horizontal="center" vertical="center"/>
    </xf>
    <xf numFmtId="1" fontId="48" fillId="33" borderId="30" xfId="0" applyNumberFormat="1" applyFont="1" applyFill="1" applyBorder="1" applyAlignment="1">
      <alignment horizontal="center" vertical="center"/>
    </xf>
    <xf numFmtId="1" fontId="48" fillId="0" borderId="27" xfId="0" applyNumberFormat="1" applyFont="1" applyBorder="1"/>
    <xf numFmtId="1" fontId="48" fillId="0" borderId="34" xfId="0" applyNumberFormat="1" applyFont="1" applyBorder="1" applyAlignment="1">
      <alignment horizontal="left"/>
    </xf>
    <xf numFmtId="0" fontId="50" fillId="0" borderId="34" xfId="0" applyFont="1" applyBorder="1" applyAlignment="1">
      <alignment horizontal="center" vertical="center" wrapText="1"/>
    </xf>
    <xf numFmtId="0" fontId="50" fillId="0" borderId="27" xfId="0" applyFont="1" applyBorder="1" applyAlignment="1">
      <alignment horizontal="center" vertical="center" wrapText="1"/>
    </xf>
    <xf numFmtId="165" fontId="51" fillId="35" borderId="27" xfId="0" applyNumberFormat="1" applyFont="1" applyFill="1" applyBorder="1" applyAlignment="1">
      <alignment horizontal="left" vertical="center"/>
    </xf>
    <xf numFmtId="1" fontId="48" fillId="4" borderId="3" xfId="0" applyNumberFormat="1" applyFont="1" applyFill="1" applyBorder="1"/>
    <xf numFmtId="1" fontId="48" fillId="4" borderId="3" xfId="0" applyNumberFormat="1" applyFont="1" applyFill="1" applyBorder="1" applyAlignment="1">
      <alignment horizontal="left"/>
    </xf>
    <xf numFmtId="0" fontId="50" fillId="4" borderId="27" xfId="0" applyFont="1" applyFill="1" applyBorder="1" applyAlignment="1">
      <alignment horizontal="center" vertical="center" wrapText="1"/>
    </xf>
    <xf numFmtId="0" fontId="48" fillId="33" borderId="23" xfId="0" applyFont="1" applyFill="1" applyBorder="1" applyAlignment="1">
      <alignment horizontal="center" vertical="center"/>
    </xf>
    <xf numFmtId="0" fontId="8" fillId="0" borderId="3" xfId="0" applyFont="1" applyBorder="1"/>
    <xf numFmtId="165" fontId="50" fillId="0" borderId="33" xfId="0" applyNumberFormat="1" applyFont="1" applyBorder="1" applyAlignment="1">
      <alignment horizontal="center" vertical="center" wrapText="1"/>
    </xf>
    <xf numFmtId="0" fontId="48" fillId="36" borderId="35" xfId="0" applyFont="1" applyFill="1" applyBorder="1"/>
    <xf numFmtId="1" fontId="48" fillId="36" borderId="35" xfId="0" applyNumberFormat="1" applyFont="1" applyFill="1" applyBorder="1"/>
    <xf numFmtId="0" fontId="52" fillId="36" borderId="35" xfId="0" applyFont="1" applyFill="1" applyBorder="1" applyAlignment="1">
      <alignment horizontal="center" vertical="center" wrapText="1"/>
    </xf>
    <xf numFmtId="0" fontId="50" fillId="36" borderId="35" xfId="0" applyFont="1" applyFill="1" applyBorder="1" applyAlignment="1">
      <alignment horizontal="center" vertical="center" wrapText="1"/>
    </xf>
    <xf numFmtId="165" fontId="48" fillId="37" borderId="36" xfId="0" applyNumberFormat="1" applyFont="1" applyFill="1" applyBorder="1" applyAlignment="1">
      <alignment horizontal="left" vertical="center"/>
    </xf>
    <xf numFmtId="0" fontId="48" fillId="4" borderId="33" xfId="0" applyFont="1" applyFill="1" applyBorder="1"/>
    <xf numFmtId="1" fontId="48" fillId="4" borderId="33" xfId="0" applyNumberFormat="1" applyFont="1" applyFill="1" applyBorder="1"/>
    <xf numFmtId="165" fontId="48" fillId="38" borderId="23" xfId="0" applyNumberFormat="1" applyFont="1" applyFill="1" applyBorder="1" applyAlignment="1">
      <alignment horizontal="left" vertical="center"/>
    </xf>
    <xf numFmtId="0" fontId="48" fillId="4" borderId="32" xfId="0" applyFont="1" applyFill="1" applyBorder="1"/>
    <xf numFmtId="1" fontId="48" fillId="4" borderId="32" xfId="0" applyNumberFormat="1" applyFont="1" applyFill="1" applyBorder="1"/>
    <xf numFmtId="0" fontId="50" fillId="4" borderId="32" xfId="0" applyFont="1" applyFill="1" applyBorder="1" applyAlignment="1">
      <alignment horizontal="center" vertical="center" wrapText="1"/>
    </xf>
    <xf numFmtId="0" fontId="48" fillId="4" borderId="37" xfId="0" applyFont="1" applyFill="1" applyBorder="1"/>
    <xf numFmtId="1" fontId="48" fillId="4" borderId="37" xfId="0" applyNumberFormat="1" applyFont="1" applyFill="1" applyBorder="1"/>
    <xf numFmtId="0" fontId="50" fillId="4" borderId="37" xfId="0" applyFont="1" applyFill="1" applyBorder="1" applyAlignment="1">
      <alignment horizontal="center" vertical="center" wrapText="1"/>
    </xf>
    <xf numFmtId="0" fontId="48" fillId="4" borderId="38" xfId="0" applyFont="1" applyFill="1" applyBorder="1"/>
    <xf numFmtId="1" fontId="48" fillId="4" borderId="38" xfId="0" applyNumberFormat="1" applyFont="1" applyFill="1" applyBorder="1"/>
    <xf numFmtId="0" fontId="50" fillId="4" borderId="38" xfId="0" applyFont="1" applyFill="1" applyBorder="1" applyAlignment="1">
      <alignment horizontal="center" vertical="center" wrapText="1"/>
    </xf>
    <xf numFmtId="0" fontId="50" fillId="0" borderId="32" xfId="0" applyFont="1" applyBorder="1" applyAlignment="1">
      <alignment horizontal="center" vertical="center" wrapText="1"/>
    </xf>
    <xf numFmtId="0" fontId="48" fillId="0" borderId="33" xfId="0" applyFont="1" applyBorder="1"/>
    <xf numFmtId="0" fontId="48" fillId="0" borderId="37" xfId="0" applyFont="1" applyBorder="1"/>
    <xf numFmtId="0" fontId="50" fillId="0" borderId="37" xfId="0" applyFont="1" applyBorder="1" applyAlignment="1">
      <alignment horizontal="center" vertical="center" wrapText="1"/>
    </xf>
    <xf numFmtId="1" fontId="48" fillId="0" borderId="33" xfId="0" applyNumberFormat="1" applyFont="1" applyBorder="1"/>
    <xf numFmtId="1" fontId="48" fillId="0" borderId="37" xfId="0" applyNumberFormat="1" applyFont="1" applyBorder="1"/>
    <xf numFmtId="165" fontId="48" fillId="38" borderId="39" xfId="0" applyNumberFormat="1" applyFont="1" applyFill="1" applyBorder="1" applyAlignment="1">
      <alignment horizontal="left" vertical="center"/>
    </xf>
    <xf numFmtId="0" fontId="48" fillId="36" borderId="40" xfId="0" applyFont="1" applyFill="1" applyBorder="1"/>
    <xf numFmtId="1" fontId="48" fillId="36" borderId="40" xfId="0" applyNumberFormat="1" applyFont="1" applyFill="1" applyBorder="1"/>
    <xf numFmtId="0" fontId="52" fillId="36" borderId="40" xfId="0" applyFont="1" applyFill="1" applyBorder="1" applyAlignment="1">
      <alignment horizontal="center" vertical="center" wrapText="1"/>
    </xf>
    <xf numFmtId="0" fontId="48" fillId="0" borderId="3" xfId="0" applyFont="1" applyBorder="1"/>
    <xf numFmtId="1" fontId="48" fillId="0" borderId="37" xfId="0" applyNumberFormat="1" applyFont="1" applyBorder="1" applyAlignment="1">
      <alignment horizontal="left"/>
    </xf>
    <xf numFmtId="0" fontId="48" fillId="0" borderId="30" xfId="0" applyFont="1" applyBorder="1"/>
    <xf numFmtId="0" fontId="50" fillId="39" borderId="30" xfId="0" applyFont="1" applyFill="1" applyBorder="1" applyAlignment="1">
      <alignment horizontal="center" vertical="center" wrapText="1"/>
    </xf>
    <xf numFmtId="0" fontId="50" fillId="39" borderId="34" xfId="0" applyFont="1" applyFill="1" applyBorder="1" applyAlignment="1">
      <alignment horizontal="center" vertical="center" wrapText="1"/>
    </xf>
    <xf numFmtId="165" fontId="48" fillId="38" borderId="33" xfId="0" applyNumberFormat="1" applyFont="1" applyFill="1" applyBorder="1" applyAlignment="1">
      <alignment horizontal="left" vertical="center"/>
    </xf>
    <xf numFmtId="0" fontId="48" fillId="0" borderId="30" xfId="0" applyFont="1" applyBorder="1" applyAlignment="1">
      <alignment horizontal="center" vertical="center"/>
    </xf>
    <xf numFmtId="165" fontId="48" fillId="38" borderId="33" xfId="0" applyNumberFormat="1" applyFont="1" applyFill="1" applyBorder="1" applyAlignment="1">
      <alignment horizontal="center" vertical="center"/>
    </xf>
    <xf numFmtId="0" fontId="48" fillId="33" borderId="23" xfId="0" applyFont="1" applyFill="1" applyBorder="1"/>
    <xf numFmtId="0" fontId="48" fillId="33" borderId="0" xfId="0" applyFont="1" applyFill="1" applyAlignment="1">
      <alignment horizontal="center" vertical="center"/>
    </xf>
    <xf numFmtId="0" fontId="49" fillId="34" borderId="3" xfId="0" applyFont="1" applyFill="1" applyBorder="1" applyAlignment="1">
      <alignment horizontal="center" vertical="center"/>
    </xf>
    <xf numFmtId="0" fontId="49" fillId="34" borderId="33" xfId="0" applyFont="1" applyFill="1" applyBorder="1" applyAlignment="1">
      <alignment horizontal="center" vertical="center"/>
    </xf>
    <xf numFmtId="165" fontId="53" fillId="0" borderId="25" xfId="433" applyNumberFormat="1" applyFont="1" applyBorder="1" applyAlignment="1">
      <alignment horizontal="center" vertical="center" wrapText="1"/>
    </xf>
    <xf numFmtId="165" fontId="51" fillId="35" borderId="25" xfId="0" applyNumberFormat="1" applyFont="1" applyFill="1" applyBorder="1" applyAlignment="1">
      <alignment horizontal="left" vertical="center"/>
    </xf>
    <xf numFmtId="1" fontId="48" fillId="40" borderId="33" xfId="0" applyNumberFormat="1" applyFont="1" applyFill="1" applyBorder="1"/>
    <xf numFmtId="0" fontId="50" fillId="40" borderId="33" xfId="0" applyFont="1" applyFill="1" applyBorder="1" applyAlignment="1">
      <alignment horizontal="center" vertical="center" wrapText="1"/>
    </xf>
    <xf numFmtId="165" fontId="53" fillId="40" borderId="25" xfId="433" applyNumberFormat="1" applyFont="1" applyFill="1" applyBorder="1" applyAlignment="1">
      <alignment horizontal="center" vertical="center" wrapText="1"/>
    </xf>
    <xf numFmtId="165" fontId="51" fillId="40" borderId="25" xfId="0" applyNumberFormat="1" applyFont="1" applyFill="1" applyBorder="1" applyAlignment="1">
      <alignment horizontal="left" vertical="center"/>
    </xf>
    <xf numFmtId="1" fontId="48" fillId="0" borderId="30" xfId="0" applyNumberFormat="1" applyFont="1" applyBorder="1" applyAlignment="1">
      <alignment horizontal="left" vertical="center"/>
    </xf>
    <xf numFmtId="0" fontId="50" fillId="4" borderId="30" xfId="0" applyFont="1" applyFill="1" applyBorder="1" applyAlignment="1">
      <alignment horizontal="center" vertical="center" wrapText="1"/>
    </xf>
    <xf numFmtId="1" fontId="48" fillId="0" borderId="30" xfId="0" applyNumberFormat="1" applyFont="1" applyBorder="1" applyAlignment="1">
      <alignment horizontal="left"/>
    </xf>
    <xf numFmtId="166" fontId="49" fillId="34" borderId="23" xfId="0" applyNumberFormat="1" applyFont="1" applyFill="1" applyBorder="1" applyAlignment="1">
      <alignment horizontal="center" vertical="center" wrapText="1"/>
    </xf>
    <xf numFmtId="0" fontId="54" fillId="0" borderId="23" xfId="0" applyFont="1" applyBorder="1"/>
    <xf numFmtId="1" fontId="54" fillId="0" borderId="23" xfId="0" applyNumberFormat="1" applyFont="1" applyBorder="1" applyAlignment="1">
      <alignment horizontal="left"/>
    </xf>
    <xf numFmtId="167" fontId="0" fillId="0" borderId="3" xfId="0" applyNumberFormat="1" applyBorder="1" applyProtection="1">
      <protection hidden="1"/>
    </xf>
    <xf numFmtId="167" fontId="0" fillId="0" borderId="27" xfId="0" applyNumberFormat="1" applyBorder="1" applyProtection="1">
      <protection hidden="1"/>
    </xf>
    <xf numFmtId="165" fontId="51" fillId="35" borderId="41" xfId="0" applyNumberFormat="1" applyFont="1" applyFill="1" applyBorder="1" applyAlignment="1">
      <alignment horizontal="left" vertical="center"/>
    </xf>
    <xf numFmtId="0" fontId="54" fillId="4" borderId="23" xfId="0" applyFont="1" applyFill="1" applyBorder="1"/>
    <xf numFmtId="1" fontId="54" fillId="4" borderId="23" xfId="0" applyNumberFormat="1" applyFont="1" applyFill="1" applyBorder="1" applyAlignment="1">
      <alignment horizontal="left"/>
    </xf>
    <xf numFmtId="0" fontId="48" fillId="33" borderId="42" xfId="0" applyFont="1" applyFill="1" applyBorder="1" applyAlignment="1">
      <alignment horizontal="center" vertical="center"/>
    </xf>
    <xf numFmtId="1" fontId="48" fillId="33" borderId="42" xfId="0" applyNumberFormat="1" applyFont="1" applyFill="1" applyBorder="1" applyAlignment="1">
      <alignment horizontal="center" vertical="center"/>
    </xf>
    <xf numFmtId="0" fontId="49" fillId="34" borderId="42" xfId="0" applyFont="1" applyFill="1" applyBorder="1" applyAlignment="1">
      <alignment horizontal="center" vertical="center"/>
    </xf>
    <xf numFmtId="166" fontId="49" fillId="34" borderId="43" xfId="0" applyNumberFormat="1" applyFont="1" applyFill="1" applyBorder="1" applyAlignment="1">
      <alignment horizontal="center" vertical="center" wrapText="1"/>
    </xf>
    <xf numFmtId="0" fontId="49" fillId="34" borderId="43" xfId="0" applyFont="1" applyFill="1" applyBorder="1" applyAlignment="1">
      <alignment horizontal="center" vertical="center"/>
    </xf>
    <xf numFmtId="168" fontId="48" fillId="33" borderId="23" xfId="0" applyNumberFormat="1" applyFont="1" applyFill="1" applyBorder="1"/>
    <xf numFmtId="0" fontId="48" fillId="0" borderId="23" xfId="0" applyFont="1" applyBorder="1"/>
    <xf numFmtId="168" fontId="48" fillId="0" borderId="23" xfId="0" applyNumberFormat="1" applyFont="1" applyBorder="1"/>
    <xf numFmtId="0" fontId="0" fillId="0" borderId="3" xfId="0" applyBorder="1"/>
    <xf numFmtId="1" fontId="48" fillId="0" borderId="3" xfId="0" applyNumberFormat="1" applyFont="1" applyBorder="1" applyAlignment="1">
      <alignment horizontal="left"/>
    </xf>
    <xf numFmtId="0" fontId="48" fillId="30" borderId="3" xfId="0" applyFont="1" applyFill="1" applyBorder="1"/>
    <xf numFmtId="0" fontId="0" fillId="0" borderId="3" xfId="0" applyBorder="1" applyAlignment="1">
      <alignment wrapText="1"/>
    </xf>
    <xf numFmtId="1" fontId="0" fillId="0" borderId="3" xfId="0" applyNumberFormat="1" applyBorder="1" applyAlignment="1">
      <alignment horizontal="left" wrapText="1"/>
    </xf>
    <xf numFmtId="0" fontId="0" fillId="30" borderId="3" xfId="0" applyFill="1" applyBorder="1" applyAlignment="1">
      <alignment wrapText="1"/>
    </xf>
    <xf numFmtId="0" fontId="48" fillId="40" borderId="23" xfId="0" applyFont="1" applyFill="1" applyBorder="1"/>
    <xf numFmtId="168" fontId="48" fillId="40" borderId="23" xfId="0" applyNumberFormat="1" applyFont="1" applyFill="1" applyBorder="1"/>
    <xf numFmtId="1" fontId="48" fillId="40" borderId="23" xfId="0" applyNumberFormat="1" applyFont="1" applyFill="1" applyBorder="1" applyAlignment="1">
      <alignment horizontal="left"/>
    </xf>
    <xf numFmtId="0" fontId="48" fillId="30" borderId="23" xfId="0" applyFont="1" applyFill="1" applyBorder="1"/>
    <xf numFmtId="1" fontId="48" fillId="30" borderId="23" xfId="0" applyNumberFormat="1" applyFont="1" applyFill="1" applyBorder="1" applyAlignment="1">
      <alignment horizontal="left"/>
    </xf>
    <xf numFmtId="0" fontId="48" fillId="30" borderId="0" xfId="0" applyFont="1" applyFill="1"/>
    <xf numFmtId="0" fontId="0" fillId="30" borderId="0" xfId="0" applyFill="1" applyAlignment="1">
      <alignment wrapText="1"/>
    </xf>
    <xf numFmtId="0" fontId="0" fillId="30" borderId="27" xfId="0" applyFill="1" applyBorder="1" applyAlignment="1">
      <alignment horizontal="center" vertical="center"/>
    </xf>
    <xf numFmtId="0" fontId="0" fillId="30" borderId="28" xfId="0" applyFill="1" applyBorder="1" applyAlignment="1">
      <alignment horizontal="center" vertical="center"/>
    </xf>
    <xf numFmtId="0" fontId="0" fillId="30" borderId="29" xfId="0" applyFill="1" applyBorder="1" applyAlignment="1">
      <alignment horizontal="center" vertical="center"/>
    </xf>
    <xf numFmtId="0" fontId="7" fillId="5" borderId="4" xfId="1" applyFont="1" applyFill="1" applyBorder="1" applyAlignment="1">
      <alignment horizontal="center" vertical="center"/>
    </xf>
    <xf numFmtId="0" fontId="7" fillId="5" borderId="5" xfId="1" applyFont="1" applyFill="1" applyBorder="1" applyAlignment="1">
      <alignment horizontal="center" vertical="center"/>
    </xf>
    <xf numFmtId="0" fontId="7" fillId="5" borderId="6" xfId="1" applyFont="1" applyFill="1" applyBorder="1" applyAlignment="1">
      <alignment horizontal="center" vertical="center"/>
    </xf>
    <xf numFmtId="0" fontId="7" fillId="5" borderId="7" xfId="1" applyFont="1" applyFill="1" applyBorder="1" applyAlignment="1">
      <alignment horizontal="center" vertical="center"/>
    </xf>
    <xf numFmtId="0" fontId="7" fillId="5" borderId="8" xfId="1" applyFont="1" applyFill="1" applyBorder="1" applyAlignment="1">
      <alignment horizontal="center" vertical="center"/>
    </xf>
    <xf numFmtId="0" fontId="7" fillId="5" borderId="9" xfId="1" applyFont="1" applyFill="1" applyBorder="1" applyAlignment="1">
      <alignment horizontal="center" vertical="center"/>
    </xf>
  </cellXfs>
  <cellStyles count="434">
    <cellStyle name="_ET_STYLE_NoName_00_" xfId="25" xr:uid="{3C533097-6847-44DC-86D5-95FDE6C1ECA1}"/>
    <cellStyle name="_ET_STYLE_NoName_00_ 2" xfId="417" xr:uid="{A2D62EB2-3D5A-4920-98DB-69287CBC9C7B}"/>
    <cellStyle name="20% - Accent1" xfId="26" xr:uid="{5863BFCF-B854-4150-91C6-D5DB32BC6E92}"/>
    <cellStyle name="20% - Accent2" xfId="27" xr:uid="{6847E63A-B344-450A-A945-D713A4A732C4}"/>
    <cellStyle name="20% - Accent3" xfId="28" xr:uid="{558F44F9-4885-4736-8346-64FFD7D67904}"/>
    <cellStyle name="20% - Accent4" xfId="29" xr:uid="{A1A2C54F-D581-4942-A01C-64DA37B153D7}"/>
    <cellStyle name="20% - Accent5" xfId="30" xr:uid="{D8480BE3-CA67-4C13-8202-86150921D4D2}"/>
    <cellStyle name="20% - Accent6" xfId="31" xr:uid="{421E184A-4D18-46F0-80D9-16307147395B}"/>
    <cellStyle name="20% - 强调文字颜色 1 2" xfId="32" xr:uid="{90B79867-820B-4FCB-BAA6-F6FE6FB9E434}"/>
    <cellStyle name="20% - 强调文字颜色 1 3" xfId="33" xr:uid="{B4B35A51-9CC7-44A7-BBDA-27CE6827DD45}"/>
    <cellStyle name="20% - 强调文字颜色 1 4" xfId="34" xr:uid="{B8D85A10-DCCF-4EBA-9CAC-1E34A36AF6CB}"/>
    <cellStyle name="20% - 强调文字颜色 1 5" xfId="35" xr:uid="{97ADF211-9C82-492B-840E-74A140CCA2C5}"/>
    <cellStyle name="20% - 强调文字颜色 1 6" xfId="36" xr:uid="{53CAC745-54E8-43D0-B912-2538D22C9357}"/>
    <cellStyle name="20% - 强调文字颜色 1 7" xfId="37" xr:uid="{1366731C-F070-4E0E-BFAF-1D1AF51405C6}"/>
    <cellStyle name="20% - 强调文字颜色 1 8" xfId="38" xr:uid="{FF95AF46-802D-40FA-A7F7-D676F1A9B278}"/>
    <cellStyle name="20% - 强调文字颜色 1 9" xfId="39" xr:uid="{ACEF241E-C3CE-4274-9C5F-BF5EE15747B5}"/>
    <cellStyle name="20% - 强调文字颜色 2 2" xfId="40" xr:uid="{9CB9BC5B-414E-47CF-81FF-9E196609CAEB}"/>
    <cellStyle name="20% - 强调文字颜色 2 3" xfId="41" xr:uid="{9DD9E343-2E7F-4978-A0A3-51B507EF67DE}"/>
    <cellStyle name="20% - 强调文字颜色 2 4" xfId="42" xr:uid="{F981CAFD-130B-4E94-A5D8-A9EEDFEE6D88}"/>
    <cellStyle name="20% - 强调文字颜色 2 5" xfId="43" xr:uid="{A5E9A385-BB36-4601-AA1D-F04F30CA9E3E}"/>
    <cellStyle name="20% - 强调文字颜色 2 6" xfId="44" xr:uid="{0363EED5-1BCC-4A91-AA6E-F67434928933}"/>
    <cellStyle name="20% - 强调文字颜色 2 7" xfId="45" xr:uid="{C8EA90A4-6266-4E93-B38F-0FEE9C05B190}"/>
    <cellStyle name="20% - 强调文字颜色 2 8" xfId="46" xr:uid="{5E39DE49-B109-4748-BEBC-4E98ED9F8F70}"/>
    <cellStyle name="20% - 强调文字颜色 2 9" xfId="47" xr:uid="{09DAA575-067F-47B4-AF95-1C37DCD35A0E}"/>
    <cellStyle name="20% - 强调文字颜色 3 2" xfId="48" xr:uid="{57AE7F59-C56F-4557-8BFF-1538C730FEC4}"/>
    <cellStyle name="20% - 强调文字颜色 3 3" xfId="49" xr:uid="{D50D506F-7EEB-42D4-B685-EDC108BC4FC9}"/>
    <cellStyle name="20% - 强调文字颜色 3 4" xfId="50" xr:uid="{A666E6B5-F4C9-4D7D-AFE0-35D669938FB8}"/>
    <cellStyle name="20% - 强调文字颜色 3 5" xfId="51" xr:uid="{00009897-5E7F-4AA1-B1AF-6DB228C56CA2}"/>
    <cellStyle name="20% - 强调文字颜色 3 6" xfId="52" xr:uid="{47795BD9-7D9A-49EA-8F0F-A63B53B5FE45}"/>
    <cellStyle name="20% - 强调文字颜色 3 7" xfId="53" xr:uid="{301E5DD0-5799-4518-BC41-65E0BE73C3AA}"/>
    <cellStyle name="20% - 强调文字颜色 3 8" xfId="54" xr:uid="{A8E41191-3208-4601-85AD-BCE413D1D511}"/>
    <cellStyle name="20% - 强调文字颜色 3 9" xfId="55" xr:uid="{9629F1AF-657E-4B95-A457-9BDF29EE786C}"/>
    <cellStyle name="20% - 强调文字颜色 4 2" xfId="56" xr:uid="{3E2A35D5-A5CB-41EF-BCB9-E384BD832226}"/>
    <cellStyle name="20% - 强调文字颜色 4 3" xfId="57" xr:uid="{0537E102-75C8-475D-9479-A012347C2AFC}"/>
    <cellStyle name="20% - 强调文字颜色 4 4" xfId="58" xr:uid="{C29069F1-6620-43C6-8B63-A5462AFF33BC}"/>
    <cellStyle name="20% - 强调文字颜色 4 5" xfId="59" xr:uid="{B5A6272B-CB2A-4C41-B153-5F08DCEBB83B}"/>
    <cellStyle name="20% - 强调文字颜色 4 6" xfId="60" xr:uid="{3C8EB83E-B5D9-4F8F-98EB-A4D0D28EA3B5}"/>
    <cellStyle name="20% - 强调文字颜色 4 7" xfId="61" xr:uid="{60DC52CD-A863-4740-908F-D50CD22994E0}"/>
    <cellStyle name="20% - 强调文字颜色 4 8" xfId="62" xr:uid="{EC2A9FA5-1585-4A89-BD04-580F15F655AD}"/>
    <cellStyle name="20% - 强调文字颜色 4 9" xfId="63" xr:uid="{B85CEE3C-F5EC-41F4-A762-B6FC4236398F}"/>
    <cellStyle name="20% - 强调文字颜色 5 2" xfId="64" xr:uid="{98F7EA58-DCA3-4633-834D-9B4CF80EF944}"/>
    <cellStyle name="20% - 强调文字颜色 5 3" xfId="65" xr:uid="{6E861801-E9D1-47EF-BC48-46BF55684592}"/>
    <cellStyle name="20% - 强调文字颜色 5 4" xfId="66" xr:uid="{8C6BB3DF-8C57-4808-A9BB-563A7B7C8E90}"/>
    <cellStyle name="20% - 强调文字颜色 5 5" xfId="67" xr:uid="{4ED75A20-61EA-4321-9798-A39C6B9F3328}"/>
    <cellStyle name="20% - 强调文字颜色 5 6" xfId="68" xr:uid="{960F1EDA-2638-431F-98A8-F5CB38BCB7DB}"/>
    <cellStyle name="20% - 强调文字颜色 5 7" xfId="69" xr:uid="{C0B124A8-BE3D-4523-879E-D4789F180AE1}"/>
    <cellStyle name="20% - 强调文字颜色 5 8" xfId="70" xr:uid="{6686923E-257D-4126-8B32-DAB0878713CA}"/>
    <cellStyle name="20% - 强调文字颜色 5 9" xfId="71" xr:uid="{F6EF4B42-F492-4E35-9194-93036EBD0E4B}"/>
    <cellStyle name="20% - 强调文字颜色 6 2" xfId="72" xr:uid="{0AF14034-2418-499E-8D9F-44513D2DF23A}"/>
    <cellStyle name="20% - 强调文字颜色 6 3" xfId="73" xr:uid="{8AA1BA96-2A30-428F-BE57-6ABF93441F5A}"/>
    <cellStyle name="20% - 强调文字颜色 6 4" xfId="74" xr:uid="{5FF1DC13-5076-4955-93C6-37C65BC29BB3}"/>
    <cellStyle name="20% - 强调文字颜色 6 5" xfId="75" xr:uid="{4238070B-5030-4DB6-8E97-A05EC909EAF2}"/>
    <cellStyle name="20% - 强调文字颜色 6 6" xfId="76" xr:uid="{DF76948F-AFAB-44D2-8C29-3AA410B41530}"/>
    <cellStyle name="20% - 强调文字颜色 6 7" xfId="77" xr:uid="{B0C2A591-E74F-4CE5-8274-C535098D45C7}"/>
    <cellStyle name="20% - 强调文字颜色 6 8" xfId="78" xr:uid="{F36C2B64-9246-4D78-AAAD-C2A2603AAD70}"/>
    <cellStyle name="20% - 强调文字颜色 6 9" xfId="79" xr:uid="{D2420B96-CD20-46BC-AB1D-EC39397DA470}"/>
    <cellStyle name="40% - Accent1" xfId="80" xr:uid="{ACBE2C70-ACDA-49E2-9FE1-01E0744A5013}"/>
    <cellStyle name="40% - Accent2" xfId="81" xr:uid="{749E7163-F75F-4FF7-8F26-E26B0A09D747}"/>
    <cellStyle name="40% - Accent3" xfId="82" xr:uid="{9B27DB8D-27D3-413C-B7E7-9F36858E8E25}"/>
    <cellStyle name="40% - Accent4" xfId="83" xr:uid="{A52EFEC6-292C-44FC-B930-C660FBC33CA4}"/>
    <cellStyle name="40% - Accent5" xfId="84" xr:uid="{6D86F74B-1AB6-4A70-8802-5303912FCC98}"/>
    <cellStyle name="40% - Accent6" xfId="85" xr:uid="{F5DA95AB-604F-4BE2-B922-5B832869087B}"/>
    <cellStyle name="40% - 强调文字颜色 1 2" xfId="86" xr:uid="{298C3636-DE69-4001-9400-AD5042BA2C2D}"/>
    <cellStyle name="40% - 强调文字颜色 1 3" xfId="87" xr:uid="{7EEF74C5-BD89-473C-8D84-7F674041DFD3}"/>
    <cellStyle name="40% - 强调文字颜色 1 4" xfId="88" xr:uid="{6603AEF2-40D3-4CED-8A1D-E50B6A91AC98}"/>
    <cellStyle name="40% - 强调文字颜色 1 5" xfId="89" xr:uid="{ECE92079-123D-4654-886C-0EC621750FC3}"/>
    <cellStyle name="40% - 强调文字颜色 1 6" xfId="90" xr:uid="{E3D87068-6073-42B9-85C7-B76E12AB4A69}"/>
    <cellStyle name="40% - 强调文字颜色 1 7" xfId="91" xr:uid="{A141C8AB-300D-40A7-A6AC-48C5FF20367C}"/>
    <cellStyle name="40% - 强调文字颜色 1 8" xfId="92" xr:uid="{CCD86B58-9084-4D16-BBB7-FCD78ECFE449}"/>
    <cellStyle name="40% - 强调文字颜色 1 9" xfId="93" xr:uid="{BC36813D-BA74-41A6-9875-18BDF9F1B4CB}"/>
    <cellStyle name="40% - 强调文字颜色 2 2" xfId="94" xr:uid="{50B50F1A-C01D-4995-B59A-E1B03328F767}"/>
    <cellStyle name="40% - 强调文字颜色 2 3" xfId="95" xr:uid="{9827C1C7-164E-439C-BD7D-6C22A81DED08}"/>
    <cellStyle name="40% - 强调文字颜色 2 4" xfId="96" xr:uid="{5C2D2012-E811-4A9A-BAB9-B26AB519B9B5}"/>
    <cellStyle name="40% - 强调文字颜色 2 5" xfId="97" xr:uid="{A9EF67FE-283D-4A83-966C-951EAB001E1B}"/>
    <cellStyle name="40% - 强调文字颜色 2 6" xfId="98" xr:uid="{D80E43DE-B620-4C67-AEBE-E9C999EFE728}"/>
    <cellStyle name="40% - 强调文字颜色 2 7" xfId="99" xr:uid="{5198C074-7D6B-4C49-A835-95364D316EA7}"/>
    <cellStyle name="40% - 强调文字颜色 2 8" xfId="100" xr:uid="{7324883D-15A4-4254-AD8F-1B5434A4C483}"/>
    <cellStyle name="40% - 强调文字颜色 2 9" xfId="101" xr:uid="{1F30F33F-02EC-48B4-AC08-CB27F5992A50}"/>
    <cellStyle name="40% - 强调文字颜色 3 2" xfId="102" xr:uid="{6B5B9A91-B293-4D87-AFD8-9E76CC49A10A}"/>
    <cellStyle name="40% - 强调文字颜色 3 3" xfId="103" xr:uid="{F1B5C3EB-E945-4960-A2FC-B67C048D2118}"/>
    <cellStyle name="40% - 强调文字颜色 3 4" xfId="104" xr:uid="{C2CF96B6-AFA0-45FA-9BFE-268B7BBF6DF0}"/>
    <cellStyle name="40% - 强调文字颜色 3 5" xfId="105" xr:uid="{722A4D3D-749D-45B3-9FF9-050E6A47AF61}"/>
    <cellStyle name="40% - 强调文字颜色 3 6" xfId="106" xr:uid="{5706ED60-14F2-45D2-8550-6BE15D39E97C}"/>
    <cellStyle name="40% - 强调文字颜色 3 7" xfId="107" xr:uid="{FC651D9C-24B8-4E7C-8C6C-B71C848BF31B}"/>
    <cellStyle name="40% - 强调文字颜色 3 8" xfId="108" xr:uid="{C4D018D2-050C-4F05-AACF-F9567CDA7195}"/>
    <cellStyle name="40% - 强调文字颜色 3 9" xfId="109" xr:uid="{20524FED-A24F-4B26-8737-2BC486EC71A6}"/>
    <cellStyle name="40% - 强调文字颜色 4 2" xfId="110" xr:uid="{A4FF2130-49A4-40EB-B2C5-A3FA5F8AD9D6}"/>
    <cellStyle name="40% - 强调文字颜色 4 3" xfId="111" xr:uid="{1BD10A5D-B9B6-4805-AFE5-A71D05BFC73C}"/>
    <cellStyle name="40% - 强调文字颜色 4 4" xfId="112" xr:uid="{42009F99-E1A0-4617-9579-1A4483984AF0}"/>
    <cellStyle name="40% - 强调文字颜色 4 5" xfId="113" xr:uid="{4C8DFBB4-F6CD-403E-A33D-B43491D83415}"/>
    <cellStyle name="40% - 强调文字颜色 4 6" xfId="114" xr:uid="{616B2A77-8F18-41BE-9EDC-7D82445B8289}"/>
    <cellStyle name="40% - 强调文字颜色 4 7" xfId="115" xr:uid="{E99C7C03-FC8A-4715-823D-811800432AB9}"/>
    <cellStyle name="40% - 强调文字颜色 4 8" xfId="116" xr:uid="{CCBAE4E6-FC69-417C-AFDC-3B6C22DBC667}"/>
    <cellStyle name="40% - 强调文字颜色 4 9" xfId="117" xr:uid="{BCE67622-F148-4AA4-A8C9-31DE24AE1E3F}"/>
    <cellStyle name="40% - 强调文字颜色 5 2" xfId="118" xr:uid="{01A20FB1-B31C-4AA8-B6A8-3260F8F71D00}"/>
    <cellStyle name="40% - 强调文字颜色 5 3" xfId="119" xr:uid="{FBA15E5E-F9FF-4DB7-815D-59EB2D0018B7}"/>
    <cellStyle name="40% - 强调文字颜色 5 4" xfId="120" xr:uid="{33D03105-8F8F-4DA0-87A0-0E1FA445D20A}"/>
    <cellStyle name="40% - 强调文字颜色 5 5" xfId="121" xr:uid="{1DE06F82-4F14-4E97-824C-4B1698222B28}"/>
    <cellStyle name="40% - 强调文字颜色 5 6" xfId="122" xr:uid="{C3735315-5201-4924-9DEA-AA8FA06D43D5}"/>
    <cellStyle name="40% - 强调文字颜色 5 7" xfId="123" xr:uid="{71F48897-40EE-422C-912A-56039C709A64}"/>
    <cellStyle name="40% - 强调文字颜色 5 8" xfId="124" xr:uid="{BC933C04-5AC9-425E-A957-2A051B7311C6}"/>
    <cellStyle name="40% - 强调文字颜色 5 9" xfId="125" xr:uid="{93497BD7-0BC7-4123-8F47-2E12B9812464}"/>
    <cellStyle name="40% - 强调文字颜色 6 2" xfId="126" xr:uid="{975617D8-8724-48E4-998B-42506EFFDE22}"/>
    <cellStyle name="40% - 强调文字颜色 6 3" xfId="127" xr:uid="{E8E30FB2-2B77-4920-B6E7-73F0F3BBB5F9}"/>
    <cellStyle name="40% - 强调文字颜色 6 4" xfId="128" xr:uid="{05E467DA-E7FE-464B-84F5-DC05483CFEAC}"/>
    <cellStyle name="40% - 强调文字颜色 6 5" xfId="129" xr:uid="{DB57F498-A91F-4F1A-A836-F81AB92FA715}"/>
    <cellStyle name="40% - 强调文字颜色 6 6" xfId="130" xr:uid="{B002E622-D5BA-4DC9-8CFE-78CCE3736836}"/>
    <cellStyle name="40% - 强调文字颜色 6 7" xfId="131" xr:uid="{A387E18E-7F68-4533-9D12-FEA520CE849A}"/>
    <cellStyle name="40% - 强调文字颜色 6 8" xfId="132" xr:uid="{01A14201-7E5D-4016-B09E-BD09301ABC28}"/>
    <cellStyle name="40% - 强调文字颜色 6 9" xfId="133" xr:uid="{866D4E48-2089-467B-9199-D447D063DADE}"/>
    <cellStyle name="60% - Accent1" xfId="134" xr:uid="{0375FE50-C33B-4DE4-914A-5844036F0FDE}"/>
    <cellStyle name="60% - Accent2" xfId="135" xr:uid="{DE651E59-0731-4FE8-905E-4F9BC9724716}"/>
    <cellStyle name="60% - Accent3" xfId="136" xr:uid="{09871FDA-6C4E-4068-9B62-04646849C23A}"/>
    <cellStyle name="60% - Accent4" xfId="137" xr:uid="{07C2EAD9-53BB-47D6-BF7A-77E2DD37FD81}"/>
    <cellStyle name="60% - Accent5" xfId="138" xr:uid="{340E6F75-7E3D-4C63-99D8-76B74345ABE6}"/>
    <cellStyle name="60% - Accent6" xfId="139" xr:uid="{3EAE2F58-DB68-44C2-8B23-088080DC992F}"/>
    <cellStyle name="60% - 强调文字颜色 1 2" xfId="140" xr:uid="{50C3AD11-EBF4-4A6D-BE88-06D97D28EA70}"/>
    <cellStyle name="60% - 强调文字颜色 1 3" xfId="141" xr:uid="{B2C3362E-3736-4AF5-8340-F6BD9BF79719}"/>
    <cellStyle name="60% - 强调文字颜色 1 4" xfId="142" xr:uid="{40B3F565-F7C6-47CF-A3F0-FCE348BE9A43}"/>
    <cellStyle name="60% - 强调文字颜色 1 5" xfId="143" xr:uid="{1C4F22AB-9CAE-468E-968F-CDA088567FA9}"/>
    <cellStyle name="60% - 强调文字颜色 1 6" xfId="144" xr:uid="{EDCA969D-125F-46AA-A6E9-880079A47AF1}"/>
    <cellStyle name="60% - 强调文字颜色 1 7" xfId="145" xr:uid="{F0BAE5EC-FBB0-4DB6-8E0A-72B9B3C0555D}"/>
    <cellStyle name="60% - 强调文字颜色 1 8" xfId="146" xr:uid="{B47129D1-7915-4E8A-812A-2DA0C7B275FD}"/>
    <cellStyle name="60% - 强调文字颜色 1 9" xfId="147" xr:uid="{484FC72B-5C5B-4AB8-B5A9-15455A620627}"/>
    <cellStyle name="60% - 强调文字颜色 2 2" xfId="148" xr:uid="{FB900143-D3B6-4752-A5C3-9A870A9AF76A}"/>
    <cellStyle name="60% - 强调文字颜色 2 3" xfId="149" xr:uid="{1AFC5F8D-8E72-4147-8E01-4BD4EFFA7162}"/>
    <cellStyle name="60% - 强调文字颜色 2 4" xfId="150" xr:uid="{0F2F9798-C480-460A-A07D-B8996A62EFE0}"/>
    <cellStyle name="60% - 强调文字颜色 2 5" xfId="151" xr:uid="{47EDB277-A1EC-42D9-BF71-D77B15128EAC}"/>
    <cellStyle name="60% - 强调文字颜色 2 6" xfId="152" xr:uid="{EA3F7BF0-A51C-44A4-BB5E-845598C842AA}"/>
    <cellStyle name="60% - 强调文字颜色 2 7" xfId="153" xr:uid="{1E33C8EA-D328-45FF-B6BB-581E8B4D953E}"/>
    <cellStyle name="60% - 强调文字颜色 2 8" xfId="154" xr:uid="{61DEBA57-6B7D-42C1-8FB9-9FAC9D260E43}"/>
    <cellStyle name="60% - 强调文字颜色 2 9" xfId="155" xr:uid="{A0B4B094-BEAE-434E-AF2E-356A62402230}"/>
    <cellStyle name="60% - 强调文字颜色 3 2" xfId="156" xr:uid="{ECB0655D-7EE7-4F1F-9A55-6F6C874D9DB7}"/>
    <cellStyle name="60% - 强调文字颜色 3 3" xfId="157" xr:uid="{0C6A1CC7-AD8F-48C7-B69F-D14AF26BA345}"/>
    <cellStyle name="60% - 强调文字颜色 3 4" xfId="158" xr:uid="{68837933-1B28-4435-9B0A-03BC9C3D6AA1}"/>
    <cellStyle name="60% - 强调文字颜色 3 5" xfId="159" xr:uid="{4E0AFF75-7C2D-4ED4-871B-7A33F6D5E701}"/>
    <cellStyle name="60% - 强调文字颜色 3 6" xfId="160" xr:uid="{40A62FF1-FC9F-4AC1-8FA7-1C123E233E31}"/>
    <cellStyle name="60% - 强调文字颜色 3 7" xfId="161" xr:uid="{3F418081-FC04-47C8-A61A-7A8209D00521}"/>
    <cellStyle name="60% - 强调文字颜色 3 8" xfId="162" xr:uid="{20262500-FBB1-4BEB-A9B7-8EF11FEDE7B6}"/>
    <cellStyle name="60% - 强调文字颜色 3 9" xfId="163" xr:uid="{6662153D-5B66-4560-A18C-66EABCDAE83D}"/>
    <cellStyle name="60% - 强调文字颜色 4 2" xfId="164" xr:uid="{4165FC4F-25B9-4115-AF89-D02475C4413D}"/>
    <cellStyle name="60% - 强调文字颜色 4 3" xfId="165" xr:uid="{A9427EE0-3F2E-41AD-AF4E-6399F7F6042F}"/>
    <cellStyle name="60% - 强调文字颜色 4 4" xfId="166" xr:uid="{284B36F7-BED0-4589-9B94-75E1CCB3CACC}"/>
    <cellStyle name="60% - 强调文字颜色 4 5" xfId="167" xr:uid="{53579F6E-0CC0-4C9E-8AE0-1895BD72B51B}"/>
    <cellStyle name="60% - 强调文字颜色 4 6" xfId="168" xr:uid="{9237FC08-766E-4192-9233-DC8EEDA7F479}"/>
    <cellStyle name="60% - 强调文字颜色 4 7" xfId="169" xr:uid="{D18ED6A7-72E7-4AB5-9259-6E4DBEF0C560}"/>
    <cellStyle name="60% - 强调文字颜色 4 8" xfId="170" xr:uid="{0B917D54-140A-4C8B-B95D-7DC9A378D292}"/>
    <cellStyle name="60% - 强调文字颜色 4 9" xfId="171" xr:uid="{FBB5A05E-DC25-405A-B868-985846CD2A1A}"/>
    <cellStyle name="60% - 强调文字颜色 5 2" xfId="172" xr:uid="{30F69C01-7A7E-41DA-9F73-332D4F174BC2}"/>
    <cellStyle name="60% - 强调文字颜色 5 3" xfId="173" xr:uid="{E7EFF25A-2A0C-4A8C-8CB9-14948DB0E9C8}"/>
    <cellStyle name="60% - 强调文字颜色 5 4" xfId="174" xr:uid="{0F3B7BC0-F162-4CA6-965E-ED78342899BE}"/>
    <cellStyle name="60% - 强调文字颜色 5 5" xfId="175" xr:uid="{93728702-0495-4618-9B2E-FB7446A36C28}"/>
    <cellStyle name="60% - 强调文字颜色 5 6" xfId="176" xr:uid="{7A4965CF-B0EE-420E-8FB3-324C2524AAE9}"/>
    <cellStyle name="60% - 强调文字颜色 5 7" xfId="177" xr:uid="{85C4A7FD-8B57-4AF2-B7BF-8AFE2D22CC35}"/>
    <cellStyle name="60% - 强调文字颜色 5 8" xfId="178" xr:uid="{04F86505-A94E-44D5-9FDE-467A572C46AB}"/>
    <cellStyle name="60% - 强调文字颜色 5 9" xfId="179" xr:uid="{C97B9FB5-8984-48EA-B5AA-7D88BF80DEB8}"/>
    <cellStyle name="60% - 强调文字颜色 6 2" xfId="180" xr:uid="{9517756E-829A-4637-9488-E9729A4E2B75}"/>
    <cellStyle name="60% - 强调文字颜色 6 3" xfId="181" xr:uid="{22F3CB5E-0920-4356-A919-E08DF67AE3EC}"/>
    <cellStyle name="60% - 强调文字颜色 6 4" xfId="182" xr:uid="{A9FCF9B6-5684-48A6-8BDF-8111FCFA8415}"/>
    <cellStyle name="60% - 强调文字颜色 6 5" xfId="183" xr:uid="{93611DC6-9A00-4C66-AAD3-9B11D6870715}"/>
    <cellStyle name="60% - 强调文字颜色 6 6" xfId="184" xr:uid="{038EC522-9E9C-421D-8FF0-BD4E0C192B16}"/>
    <cellStyle name="60% - 强调文字颜色 6 7" xfId="185" xr:uid="{1CB52F1B-CC3E-403B-A8DC-385EEE12C4A8}"/>
    <cellStyle name="60% - 强调文字颜色 6 8" xfId="186" xr:uid="{AA91C314-04C9-438B-A0FA-47818F7F97F9}"/>
    <cellStyle name="60% - 强调文字颜色 6 9" xfId="187" xr:uid="{B7A942C8-A122-48EC-A676-AC7F21489C6A}"/>
    <cellStyle name="Accent1" xfId="188" xr:uid="{02C539EA-90C4-4BDE-87A2-BC64FC5CBB1C}"/>
    <cellStyle name="Accent2" xfId="189" xr:uid="{372C2DF2-C163-48A5-B4C6-569937F565C8}"/>
    <cellStyle name="Accent3" xfId="190" xr:uid="{0B4519FC-4AD0-4B8E-92FD-723D78069CFA}"/>
    <cellStyle name="Accent4" xfId="191" xr:uid="{9B5B71BF-28EA-4963-A623-1697E095742B}"/>
    <cellStyle name="Accent5" xfId="192" xr:uid="{01AB0F00-EFD1-400C-B726-F4B5B799993C}"/>
    <cellStyle name="Accent6" xfId="193" xr:uid="{985AAEFD-FD57-4EA7-8BB0-40251FC8ADDD}"/>
    <cellStyle name="Bad" xfId="194" xr:uid="{F263B75A-79F9-4157-89DD-B4AD93606511}"/>
    <cellStyle name="Calculation" xfId="195" xr:uid="{901EBCEA-D928-4CCC-8629-DE472ACBCEAE}"/>
    <cellStyle name="Check Cell" xfId="196" xr:uid="{8AFF620A-D465-48B4-AC66-C031117A9045}"/>
    <cellStyle name="Explanatory Text" xfId="197" xr:uid="{CA101EE9-DF94-4A7D-AE93-1DFE011E141B}"/>
    <cellStyle name="Good" xfId="198" xr:uid="{208C43BB-3944-4AD4-B735-D5B886872D7B}"/>
    <cellStyle name="Heading 1" xfId="199" xr:uid="{3B2827E7-3255-4E0A-9DC9-BFB7F9307E98}"/>
    <cellStyle name="Heading 2" xfId="200" xr:uid="{86B4FBC4-8340-47DA-9439-4DFE0F159D5B}"/>
    <cellStyle name="Heading 3" xfId="201" xr:uid="{5D909623-DDBC-4BD6-92A4-C4357DE6E093}"/>
    <cellStyle name="Heading 4" xfId="202" xr:uid="{435864B2-7A91-49F8-BBD5-E8DAAB749D08}"/>
    <cellStyle name="Hiperligação" xfId="1" builtinId="8"/>
    <cellStyle name="Hiperligação 2" xfId="3" xr:uid="{5887B9CD-92B1-49C2-98CB-02BA7C5535FC}"/>
    <cellStyle name="Hiperligação 3" xfId="266" xr:uid="{62F699C9-A5EC-4E70-ADC2-8B0871FA3871}"/>
    <cellStyle name="Input" xfId="203" xr:uid="{268D4558-FEAE-4CCB-B202-1A8120132AA4}"/>
    <cellStyle name="Linked Cell" xfId="204" xr:uid="{C0CD575B-E7FD-4494-A2EA-032828067900}"/>
    <cellStyle name="Neutral" xfId="205" xr:uid="{51D4F1F9-BD0A-44B7-BAB9-D1317BA148FB}"/>
    <cellStyle name="Normal" xfId="0" builtinId="0"/>
    <cellStyle name="Normal 10" xfId="2" xr:uid="{6F0DDA79-5D82-47FF-A833-D3332E4EA3D9}"/>
    <cellStyle name="Normal 11" xfId="14" xr:uid="{EC3BC3D4-BA3F-4A89-A702-83109EA7FA39}"/>
    <cellStyle name="Normal 12" xfId="23" xr:uid="{B9327726-6EC4-4405-A677-8E58D127D817}"/>
    <cellStyle name="Normal 13" xfId="24" xr:uid="{97759C3A-942F-4898-A547-0AE8D5545B94}"/>
    <cellStyle name="Normal 14" xfId="414" xr:uid="{FA9896D1-40EB-42F3-BD76-A986370239E3}"/>
    <cellStyle name="Normal 2" xfId="4" xr:uid="{0F5EB057-D515-43C4-B184-D82B410F2F05}"/>
    <cellStyle name="Normal 2 2" xfId="5" xr:uid="{CBCED99F-0199-4D6C-B0AD-E0387D81306D}"/>
    <cellStyle name="Normal 2 3" xfId="13" xr:uid="{A41CA7C1-7E4A-4090-8041-6C91B264E01C}"/>
    <cellStyle name="Normal 2 4" xfId="413" xr:uid="{F9C1E4E4-2EFE-4315-B03E-E2B0F0A52F3C}"/>
    <cellStyle name="Normal 2 5" xfId="432" xr:uid="{7F13DEB8-F5C2-4A84-9163-064EB766D262}"/>
    <cellStyle name="Normal 3" xfId="6" xr:uid="{B13B2CBB-7211-4916-8FD4-48A74556D1DC}"/>
    <cellStyle name="Normal 4" xfId="7" xr:uid="{BE4C9EB7-0014-4BBA-9ACA-A0FA346313A0}"/>
    <cellStyle name="Normal 5" xfId="8" xr:uid="{7CB0080F-C2D6-4B0C-9DB7-8C4EC7620566}"/>
    <cellStyle name="Normal 6" xfId="9" xr:uid="{09F1DED0-FED0-42AF-8BCC-BB2F587DDED7}"/>
    <cellStyle name="Normal 7" xfId="10" xr:uid="{5CEAF4A2-B14C-4A7C-9C65-3E609B92E92A}"/>
    <cellStyle name="Normal 8" xfId="11" xr:uid="{D1F5B811-91AE-4C28-A1D5-B76CC9D05796}"/>
    <cellStyle name="Normal 9" xfId="12" xr:uid="{EA633C2F-8E45-4FA3-849B-DFF4F43FD312}"/>
    <cellStyle name="Normal_Plan1" xfId="433" xr:uid="{DD4C280E-19A7-4946-AA65-3A7834E630D7}"/>
    <cellStyle name="Note" xfId="206" xr:uid="{7CEEA7E3-1141-4330-A6DC-B664D7B52550}"/>
    <cellStyle name="Output" xfId="207" xr:uid="{C99AE5DC-2629-4DA9-BC64-868A83CD9BDE}"/>
    <cellStyle name="Title" xfId="208" xr:uid="{BB7CF64F-8D40-4CD7-B98A-E2B760131EF5}"/>
    <cellStyle name="Total 2" xfId="209" xr:uid="{77EF44DC-6D5A-4092-958F-728CEDCD77A5}"/>
    <cellStyle name="Warning Text" xfId="210" xr:uid="{B58E151C-8576-401A-8F3E-8B674A5711A1}"/>
    <cellStyle name="一般_Sheet1" xfId="404" xr:uid="{5E10AB1C-24A4-4242-862D-10A32EAF7AB5}"/>
    <cellStyle name="好 2" xfId="275" xr:uid="{697CE6D2-15F8-4874-9F20-F7A67A54653B}"/>
    <cellStyle name="好 3" xfId="276" xr:uid="{3B3DE2DC-21A8-4AB3-AB69-814821066B83}"/>
    <cellStyle name="好 4" xfId="277" xr:uid="{18DF3AC3-9275-4B1F-967E-66CBBE3586F1}"/>
    <cellStyle name="好 5" xfId="278" xr:uid="{38A64205-4FE7-418C-90EF-1D0E733F463D}"/>
    <cellStyle name="好 6" xfId="279" xr:uid="{0C5F0376-A228-491A-919A-D4A409F059AE}"/>
    <cellStyle name="好 7" xfId="280" xr:uid="{1E219D9F-E4E3-4B0C-AC49-F76C4B1664FF}"/>
    <cellStyle name="好 8" xfId="281" xr:uid="{5DA5CD4B-E273-42D7-BB54-E5B63B6C31BB}"/>
    <cellStyle name="好 9" xfId="282" xr:uid="{221DB1E0-43D3-4E7A-B069-830E26977E47}"/>
    <cellStyle name="差 2" xfId="251" xr:uid="{F85A3CEF-F486-4D5B-8988-67FC8D1A238F}"/>
    <cellStyle name="差 3" xfId="252" xr:uid="{9A85FE89-A4FC-4DA5-9D70-D2D92C149A65}"/>
    <cellStyle name="差 4" xfId="253" xr:uid="{98D49E00-78B3-44CC-8192-70A07D53F50A}"/>
    <cellStyle name="差 5" xfId="254" xr:uid="{1D1C7DCE-A4D8-4C78-B542-0DBE5CA25E90}"/>
    <cellStyle name="差 6" xfId="255" xr:uid="{51BED207-692A-4228-811A-F4BA615E7C27}"/>
    <cellStyle name="差 7" xfId="256" xr:uid="{9412FC4A-507F-4B15-AED7-DBF76079174F}"/>
    <cellStyle name="差 8" xfId="257" xr:uid="{0214C655-C8CC-40A7-9B29-CBE37B381F61}"/>
    <cellStyle name="差 9" xfId="258" xr:uid="{8EB27B45-8ED7-4E24-BF33-B6EA020A1FA9}"/>
    <cellStyle name="常规 11 2" xfId="21" xr:uid="{FFB4CC07-90BD-402B-8334-7A16851E9B13}"/>
    <cellStyle name="常规 14" xfId="20" xr:uid="{46832196-F5BC-4F04-9C1D-7B2ADE1C258E}"/>
    <cellStyle name="常规 2" xfId="22" xr:uid="{4AE91107-E330-4D24-953F-03C785CBB090}"/>
    <cellStyle name="常规 2 2" xfId="259" xr:uid="{A962D88A-F6C5-4D5E-875D-93E2DE9EA838}"/>
    <cellStyle name="常规 2 2 2" xfId="420" xr:uid="{1BCA8732-DE49-4165-882B-72069315546F}"/>
    <cellStyle name="常规 2 2 2 2" xfId="416" xr:uid="{6BFA8A92-CC7C-45C6-950D-3BA71A56EC89}"/>
    <cellStyle name="常规 2 2 3" xfId="421" xr:uid="{8E39F1BD-0BBC-472D-9729-1131CFAB91F0}"/>
    <cellStyle name="常规 2 2 4" xfId="415" xr:uid="{2FC3113B-A880-4F5B-9C19-1343F6C3353D}"/>
    <cellStyle name="常规 2 2 5" xfId="423" xr:uid="{E9300CA8-0A23-40D8-941D-2FC96BF394DF}"/>
    <cellStyle name="常规 2 3" xfId="424" xr:uid="{B8072417-2A5C-4B32-A7BB-2DB34E6AB74D}"/>
    <cellStyle name="常规 2 3 2" xfId="425" xr:uid="{999F35E4-A852-42EC-B32B-600928AFEE00}"/>
    <cellStyle name="常规 2 4" xfId="426" xr:uid="{45E0FA93-00D7-47B9-A784-706580DF050A}"/>
    <cellStyle name="常规 2 5" xfId="419" xr:uid="{4ABDC2BB-99B3-44D5-8E28-89AA15A2E783}"/>
    <cellStyle name="常规 23 9" xfId="17" xr:uid="{B7AB1AD0-4C38-4FE9-998D-73F650FDC767}"/>
    <cellStyle name="常规 28" xfId="19" xr:uid="{02A0D15A-71A1-4131-B8B3-10C1FAB6EAA8}"/>
    <cellStyle name="常规 3" xfId="260" xr:uid="{1F84EBA7-BF82-4AAC-8146-F47AB5082F44}"/>
    <cellStyle name="常规 3 2" xfId="422" xr:uid="{21E2DFA7-C6B4-433C-A860-B83956692781}"/>
    <cellStyle name="常规 3 2 2" xfId="418" xr:uid="{3333B4E9-56BB-4B26-8D00-58CE6641CD87}"/>
    <cellStyle name="常规 3 3" xfId="428" xr:uid="{6C9EBE9A-AEFD-4EE9-815D-DE5C59AAB4C6}"/>
    <cellStyle name="常规 3 3 2" xfId="429" xr:uid="{00AD8F4F-D133-4E83-827F-2026A5C87DCC}"/>
    <cellStyle name="常规 3 4" xfId="430" xr:uid="{B81D2729-9973-4BC4-8395-941FE32BD323}"/>
    <cellStyle name="常规 3 5" xfId="427" xr:uid="{35914AC9-E185-4D4F-98AB-40835F31EC5F}"/>
    <cellStyle name="常规 4" xfId="261" xr:uid="{AE4B6B4D-BCF3-413E-85BF-057311019A85}"/>
    <cellStyle name="常规 4 2" xfId="431" xr:uid="{31A46702-EE6D-4346-918F-0CAA97C00C34}"/>
    <cellStyle name="常规 5" xfId="18" xr:uid="{09E26EE8-359F-4D86-9718-2E41EC44E6A5}"/>
    <cellStyle name="常规 6" xfId="262" xr:uid="{C3469CC1-0846-40C1-A898-E94153646011}"/>
    <cellStyle name="常规 7" xfId="263" xr:uid="{86D0AE1F-0731-4EEF-B1C6-68E8275D9A76}"/>
    <cellStyle name="常规 8" xfId="264" xr:uid="{BDFC90A3-1E39-45D8-A80E-E6ACD38DDA69}"/>
    <cellStyle name="常规 9" xfId="265" xr:uid="{6A03BE10-3890-43D9-9E61-42E31D7B1004}"/>
    <cellStyle name="常规_advercom_09A02_PI_Updated_May1309" xfId="15" xr:uid="{A36369D4-8F5E-4862-8C36-900B4B02F2F4}"/>
    <cellStyle name="强调文字颜色 1 2" xfId="331" xr:uid="{829185D9-EDA5-4A1D-99F5-65A80A889442}"/>
    <cellStyle name="强调文字颜色 1 3" xfId="332" xr:uid="{B007488A-F97F-41CF-B32A-693C12218270}"/>
    <cellStyle name="强调文字颜色 1 4" xfId="333" xr:uid="{49219423-20AE-45AF-AC93-26260999DCA6}"/>
    <cellStyle name="强调文字颜色 1 5" xfId="334" xr:uid="{D2B14DD8-DD31-48F2-AD5B-3B42FA71C2B0}"/>
    <cellStyle name="强调文字颜色 1 6" xfId="335" xr:uid="{249542D1-A92B-4B64-914E-ECAAD3071211}"/>
    <cellStyle name="强调文字颜色 1 7" xfId="336" xr:uid="{56101DAC-E2CB-42E9-9530-0851A92E1FC9}"/>
    <cellStyle name="强调文字颜色 1 8" xfId="337" xr:uid="{3F380287-C3D1-484E-A98B-7C462F116389}"/>
    <cellStyle name="强调文字颜色 1 9" xfId="338" xr:uid="{6CB5672E-6C5A-4F8A-A356-FA0D7B3DB596}"/>
    <cellStyle name="强调文字颜色 2 2" xfId="339" xr:uid="{84CE9C7A-C7A8-45FD-B82F-95D804E3DF56}"/>
    <cellStyle name="强调文字颜色 2 3" xfId="340" xr:uid="{479B16B9-C666-4FAB-B7C4-9078D0F071AE}"/>
    <cellStyle name="强调文字颜色 2 4" xfId="341" xr:uid="{DDF8121C-96EF-4BBC-A512-1753B3A5DEB1}"/>
    <cellStyle name="强调文字颜色 2 5" xfId="342" xr:uid="{CD7DA309-73D6-4184-BFC3-C48D0241B713}"/>
    <cellStyle name="强调文字颜色 2 6" xfId="343" xr:uid="{97CDF78A-5873-4D3F-B6C5-0A6B2AF74DFF}"/>
    <cellStyle name="强调文字颜色 2 7" xfId="344" xr:uid="{AA82B049-A8C8-4316-A722-6A842C8D37BA}"/>
    <cellStyle name="强调文字颜色 2 8" xfId="345" xr:uid="{859956E1-8A88-49C8-9FBE-4070A29B81B0}"/>
    <cellStyle name="强调文字颜色 2 9" xfId="346" xr:uid="{E3AEE347-A003-4E57-99BD-5EBCDE8F660F}"/>
    <cellStyle name="强调文字颜色 3 2" xfId="347" xr:uid="{C05D4F08-BB81-4711-9D87-C4FE287401EC}"/>
    <cellStyle name="强调文字颜色 3 3" xfId="348" xr:uid="{651F70DB-C659-43E0-8436-938A446CEBD7}"/>
    <cellStyle name="强调文字颜色 3 4" xfId="349" xr:uid="{3FFE448E-8E92-434C-8A6E-13B1369167F2}"/>
    <cellStyle name="强调文字颜色 3 5" xfId="350" xr:uid="{7547A16A-31AD-4AA8-930D-A6F0BD7D19C3}"/>
    <cellStyle name="强调文字颜色 3 6" xfId="351" xr:uid="{A520262E-3637-4BE9-A529-99B99FF38833}"/>
    <cellStyle name="强调文字颜色 3 7" xfId="352" xr:uid="{9E711EE6-84D3-4F7B-9267-7AF04087AB0B}"/>
    <cellStyle name="强调文字颜色 3 8" xfId="353" xr:uid="{E4AFF1BF-83E3-420D-987C-85A760072ACB}"/>
    <cellStyle name="强调文字颜色 3 9" xfId="354" xr:uid="{470C7E94-BD86-4E54-9879-DAB3750EEB4B}"/>
    <cellStyle name="强调文字颜色 4 2" xfId="355" xr:uid="{EFC1E200-C753-4731-995E-8B410441E8C2}"/>
    <cellStyle name="强调文字颜色 4 3" xfId="356" xr:uid="{A9C6F2C4-E780-45AE-9C1C-87A25B7D1920}"/>
    <cellStyle name="强调文字颜色 4 4" xfId="357" xr:uid="{77BCD5B5-4D3E-474B-9405-DFDB9B6F7BD1}"/>
    <cellStyle name="强调文字颜色 4 5" xfId="358" xr:uid="{EFEC3393-8B3E-4418-AAF5-C9FA33AA2482}"/>
    <cellStyle name="强调文字颜色 4 6" xfId="359" xr:uid="{430D0B69-168E-45CA-82D2-42834F01D80C}"/>
    <cellStyle name="强调文字颜色 4 7" xfId="360" xr:uid="{59835B46-0ABF-4787-90CC-A6848DC9AC70}"/>
    <cellStyle name="强调文字颜色 4 8" xfId="361" xr:uid="{42992F5A-EB31-4832-A5FB-6B4E5A038D1B}"/>
    <cellStyle name="强调文字颜色 4 9" xfId="362" xr:uid="{57C0B912-41E7-4587-9D26-69F750B673D0}"/>
    <cellStyle name="强调文字颜色 5 2" xfId="363" xr:uid="{5C8DFB8F-A9D2-4F42-B196-F9CDB9F22C40}"/>
    <cellStyle name="强调文字颜色 5 3" xfId="364" xr:uid="{CEA14505-78A2-44D7-9A7E-043BB1AC494D}"/>
    <cellStyle name="强调文字颜色 5 4" xfId="365" xr:uid="{AA4278D9-BF35-4DED-A372-526A75952D99}"/>
    <cellStyle name="强调文字颜色 5 5" xfId="366" xr:uid="{E6043059-F423-4874-B4AB-668927897893}"/>
    <cellStyle name="强调文字颜色 5 6" xfId="367" xr:uid="{B49B0D39-4C86-489B-A273-08B594DD1EA3}"/>
    <cellStyle name="强调文字颜色 5 7" xfId="368" xr:uid="{F9AFDA9F-DEFF-487C-B74C-D60BFE0CC0AE}"/>
    <cellStyle name="强调文字颜色 5 8" xfId="369" xr:uid="{3C51A25D-62B7-432C-9C7C-11AB3DED8680}"/>
    <cellStyle name="强调文字颜色 5 9" xfId="370" xr:uid="{AC862735-7356-4E3D-9628-5CE3224FA974}"/>
    <cellStyle name="强调文字颜色 6 2" xfId="371" xr:uid="{F6342D17-2FBB-4017-BF12-8D8817EC2BEA}"/>
    <cellStyle name="强调文字颜色 6 3" xfId="372" xr:uid="{CBC8017A-A66B-48D1-932B-8AF5863A4DBB}"/>
    <cellStyle name="强调文字颜色 6 4" xfId="373" xr:uid="{1F86CBD7-A874-4D62-828D-AE9CC528A458}"/>
    <cellStyle name="强调文字颜色 6 5" xfId="374" xr:uid="{B6F649CF-8B5A-4A94-9B79-4177B45A1D65}"/>
    <cellStyle name="强调文字颜色 6 6" xfId="375" xr:uid="{26A3937F-2359-49FB-8B04-A6BF48564CD9}"/>
    <cellStyle name="强调文字颜色 6 7" xfId="376" xr:uid="{AF9D006A-1ABA-4031-8444-4A7C687261D2}"/>
    <cellStyle name="强调文字颜色 6 8" xfId="377" xr:uid="{C2AE0E93-9B20-4355-A4D0-E94977C24A25}"/>
    <cellStyle name="强调文字颜色 6 9" xfId="378" xr:uid="{48D0857A-8D9D-4C37-9749-A3A788B1FDEC}"/>
    <cellStyle name="普通 2" xfId="16" xr:uid="{238EEAEA-262E-4D1C-AC91-328DC7CCF548}"/>
    <cellStyle name="标题 1 2" xfId="211" xr:uid="{53491926-503F-46D3-9CA3-52CBF77F8871}"/>
    <cellStyle name="标题 1 3" xfId="212" xr:uid="{0DB35F70-6EE9-47B5-B299-936F8E4E119C}"/>
    <cellStyle name="标题 1 4" xfId="213" xr:uid="{1751CA7B-9005-4AEA-B75E-EFF59AF6F585}"/>
    <cellStyle name="标题 1 5" xfId="214" xr:uid="{AD39A578-54EE-4B93-96AE-829F14E833D2}"/>
    <cellStyle name="标题 1 6" xfId="215" xr:uid="{EB60DDA5-990C-4B89-88A7-5F42E5236E2B}"/>
    <cellStyle name="标题 1 7" xfId="216" xr:uid="{0DADB964-55A2-4D06-9955-1DC847115DC0}"/>
    <cellStyle name="标题 1 8" xfId="217" xr:uid="{840B9196-A52F-410E-B9E1-76A1653F42C8}"/>
    <cellStyle name="标题 1 9" xfId="218" xr:uid="{E68EB764-875E-43F7-AAD2-AD73C8811F4D}"/>
    <cellStyle name="标题 10" xfId="219" xr:uid="{822E6CDD-5A36-442B-98C9-5982351B9131}"/>
    <cellStyle name="标题 11" xfId="220" xr:uid="{971E463F-2224-4789-8B0C-13D512D8E2A2}"/>
    <cellStyle name="标题 12" xfId="221" xr:uid="{4F5F6296-5DF6-447E-A2AA-C4C1BFAF6DCB}"/>
    <cellStyle name="标题 2 2" xfId="222" xr:uid="{0309A0D0-64E6-43D8-B661-E0B4711BDCC7}"/>
    <cellStyle name="标题 2 3" xfId="223" xr:uid="{5853F1DF-C16D-4946-A322-CD633F4F4CE0}"/>
    <cellStyle name="标题 2 4" xfId="224" xr:uid="{ADE9E6FF-7AD2-4F2A-99A9-2A2C4CB4A772}"/>
    <cellStyle name="标题 2 5" xfId="225" xr:uid="{8D61809C-CDB1-490A-8078-C79A301E997D}"/>
    <cellStyle name="标题 2 6" xfId="226" xr:uid="{4D2DBCA9-156E-488C-A03B-4A7638559120}"/>
    <cellStyle name="标题 2 7" xfId="227" xr:uid="{99A570EC-507B-4967-8353-F71A5F6A5CC7}"/>
    <cellStyle name="标题 2 8" xfId="228" xr:uid="{59EBFF02-0665-4BDD-B392-0D9FD16D02FE}"/>
    <cellStyle name="标题 2 9" xfId="229" xr:uid="{710D46F8-8BC1-4EF4-A64B-AA17EB977C9C}"/>
    <cellStyle name="标题 3 2" xfId="230" xr:uid="{C2C4758D-F65F-4A66-84AF-25484AF855C5}"/>
    <cellStyle name="标题 3 3" xfId="231" xr:uid="{66BBC17A-AF41-4CD3-A79B-FA50D482AAF2}"/>
    <cellStyle name="标题 3 4" xfId="232" xr:uid="{67C07DB7-936B-4E7E-84AC-63BB95D8BAE0}"/>
    <cellStyle name="标题 3 5" xfId="233" xr:uid="{96D9F124-DA7C-44BF-87C1-CB939D8A90EC}"/>
    <cellStyle name="标题 3 6" xfId="234" xr:uid="{B54CC053-B69C-4471-9F51-F3BA00C1ADCD}"/>
    <cellStyle name="标题 3 7" xfId="235" xr:uid="{2C63FA2F-14DE-48C4-B6BE-5FA433DCEB88}"/>
    <cellStyle name="标题 3 8" xfId="236" xr:uid="{8E92B102-26A8-45B3-AFCB-9A7C981413DD}"/>
    <cellStyle name="标题 3 9" xfId="237" xr:uid="{F1650A5A-D486-4C3C-97F1-65BFB1BF6C38}"/>
    <cellStyle name="标题 4 2" xfId="238" xr:uid="{EAE95A86-D52D-4744-BA7D-FDDCB08D8B3F}"/>
    <cellStyle name="标题 4 3" xfId="239" xr:uid="{A8961634-A294-4EEB-8017-0867A6E3F609}"/>
    <cellStyle name="标题 4 4" xfId="240" xr:uid="{EF9FFE0A-A42F-43DE-A984-331640087409}"/>
    <cellStyle name="标题 4 5" xfId="241" xr:uid="{78B157C5-5FDE-4DE7-B86D-72C026EF2977}"/>
    <cellStyle name="标题 4 6" xfId="242" xr:uid="{2CCA1CCF-B259-4CDD-A9D7-1938B85206F6}"/>
    <cellStyle name="标题 4 7" xfId="243" xr:uid="{26835C33-4B66-4CDF-92BC-E863695CF192}"/>
    <cellStyle name="标题 4 8" xfId="244" xr:uid="{9CE44DE5-8A95-4297-A182-1F323B7666EC}"/>
    <cellStyle name="标题 4 9" xfId="245" xr:uid="{D24C6443-AE31-4144-A601-56D216D6D3CA}"/>
    <cellStyle name="标题 5" xfId="246" xr:uid="{651DD0EF-189B-44ED-B395-6A0568365FBC}"/>
    <cellStyle name="标题 6" xfId="247" xr:uid="{3F186065-AE5C-4B55-A16D-A2B31699589F}"/>
    <cellStyle name="标题 7" xfId="248" xr:uid="{19E37E3B-0478-46E1-9294-9598CB3EDD7A}"/>
    <cellStyle name="标题 8" xfId="249" xr:uid="{E0749DAA-DD63-4C04-92E5-BEBB6A73FF3E}"/>
    <cellStyle name="标题 9" xfId="250" xr:uid="{2B818B07-C274-4FA4-8749-7C98F68837FE}"/>
    <cellStyle name="样式 1" xfId="403" xr:uid="{1126824D-7F3B-4772-AA69-0FC77759DFB8}"/>
    <cellStyle name="检查单元格 2" xfId="299" xr:uid="{7AEC5D9E-E335-495E-9578-722392B89669}"/>
    <cellStyle name="检查单元格 3" xfId="300" xr:uid="{46C36F3F-B3AF-4FD4-9EA7-297722F33331}"/>
    <cellStyle name="检查单元格 4" xfId="301" xr:uid="{C06DD03B-C79A-434C-9380-07C956FA8249}"/>
    <cellStyle name="检查单元格 5" xfId="302" xr:uid="{1D41D126-C5AD-4E05-94EE-10ECCF9F74F9}"/>
    <cellStyle name="检查单元格 6" xfId="303" xr:uid="{9D9F0F27-61FC-4048-B6ED-ECA652276C1E}"/>
    <cellStyle name="检查单元格 7" xfId="304" xr:uid="{1CF3F39C-FA39-4A20-ACD6-E156798594A7}"/>
    <cellStyle name="检查单元格 8" xfId="305" xr:uid="{21219866-DC4B-4219-ACD8-682CCCE7ECD7}"/>
    <cellStyle name="检查单元格 9" xfId="306" xr:uid="{943184EB-659A-482E-B718-72DD4854A3DF}"/>
    <cellStyle name="汇总 2" xfId="283" xr:uid="{F7443EBA-18B1-4FFC-B800-FE96627149FD}"/>
    <cellStyle name="汇总 3" xfId="284" xr:uid="{4C6236A9-D330-4206-B1ED-340DD81144B9}"/>
    <cellStyle name="汇总 4" xfId="285" xr:uid="{99AF5EB7-CECE-44C9-93DD-F4A54171BD2E}"/>
    <cellStyle name="汇总 5" xfId="286" xr:uid="{39706FF9-3601-4C18-9183-ACB2FA8E8F7E}"/>
    <cellStyle name="汇总 6" xfId="287" xr:uid="{BDA013DE-36B0-4608-80C0-481DA7E06093}"/>
    <cellStyle name="汇总 7" xfId="288" xr:uid="{A20029B9-50E8-409B-9521-9D654E7C5BA4}"/>
    <cellStyle name="汇总 8" xfId="289" xr:uid="{3B7E13DA-F8F9-467C-B422-27A5A864379A}"/>
    <cellStyle name="汇总 9" xfId="290" xr:uid="{64DF402D-CAAE-4372-907A-824E1F20E8F0}"/>
    <cellStyle name="注释 2" xfId="405" xr:uid="{A4F752C3-147A-4EFD-9FAC-7B6EEA009910}"/>
    <cellStyle name="注释 3" xfId="406" xr:uid="{7BA76556-EE97-43DB-9D9B-A809D570C622}"/>
    <cellStyle name="注释 4" xfId="407" xr:uid="{5938C176-8412-4D9A-98C0-70628CF59D4B}"/>
    <cellStyle name="注释 5" xfId="408" xr:uid="{34E7DEF5-79E9-447A-B8AA-0A558C4BF5C1}"/>
    <cellStyle name="注释 6" xfId="409" xr:uid="{B28BE6DA-679C-41BF-93BE-04F1E8D82E26}"/>
    <cellStyle name="注释 7" xfId="410" xr:uid="{1A659352-B4C1-47BB-8072-013C6DAEBAA9}"/>
    <cellStyle name="注释 8" xfId="411" xr:uid="{EAD1B6D5-7503-4963-BB07-96824398905B}"/>
    <cellStyle name="注释 9" xfId="412" xr:uid="{51291D50-5CD2-4FF4-849E-9C34197DBE10}"/>
    <cellStyle name="解释性文本 2" xfId="307" xr:uid="{3647817C-F31D-4FB3-A3DC-082244DB1C70}"/>
    <cellStyle name="解释性文本 3" xfId="308" xr:uid="{3B64B8DE-2C58-44D0-9B43-F0F32A569D42}"/>
    <cellStyle name="解释性文本 4" xfId="309" xr:uid="{DD2F3815-F3D2-44CB-A50D-1C845342FEB5}"/>
    <cellStyle name="解释性文本 5" xfId="310" xr:uid="{3CF689FE-582A-45E5-BDF8-73CCF53AE068}"/>
    <cellStyle name="解释性文本 6" xfId="311" xr:uid="{DA445D93-0D55-4B64-8058-3E7956E4D69B}"/>
    <cellStyle name="解释性文本 7" xfId="312" xr:uid="{4E34BC3C-D6CB-494F-91C0-A4022F3F5C37}"/>
    <cellStyle name="解释性文本 8" xfId="313" xr:uid="{A7BD428C-13ED-4D33-8A4E-D37B5D3DF68E}"/>
    <cellStyle name="解释性文本 9" xfId="314" xr:uid="{CA854783-D752-4AD5-890E-3ED5AB6363AB}"/>
    <cellStyle name="警告文本 2" xfId="315" xr:uid="{E432EC79-F505-4D3E-BC14-473DD6BB2987}"/>
    <cellStyle name="警告文本 3" xfId="316" xr:uid="{986B5687-A7BC-4CF1-97FE-071E6A0E6D27}"/>
    <cellStyle name="警告文本 4" xfId="317" xr:uid="{F63DCC1D-5362-4FB2-8CE9-375E39550910}"/>
    <cellStyle name="警告文本 5" xfId="318" xr:uid="{0CE42F24-D560-4A7D-A487-DDD60EEBC3FB}"/>
    <cellStyle name="警告文本 6" xfId="319" xr:uid="{ACBFB44C-CA79-40CD-88C3-2B6E9F84248E}"/>
    <cellStyle name="警告文本 7" xfId="320" xr:uid="{4D47B2E8-A981-4C8E-83A9-5C2293DC60CE}"/>
    <cellStyle name="警告文本 8" xfId="321" xr:uid="{62B2B8E8-AAF5-4DE8-9EDD-C8F81F393A88}"/>
    <cellStyle name="警告文本 9" xfId="322" xr:uid="{F308CA3D-7CB6-406A-BC4D-87C24D294C66}"/>
    <cellStyle name="计算 2" xfId="291" xr:uid="{CB8782CD-5120-4AE1-902D-6E5743A16F72}"/>
    <cellStyle name="计算 3" xfId="292" xr:uid="{95787C6E-A4AE-4330-AE14-E57557640779}"/>
    <cellStyle name="计算 4" xfId="293" xr:uid="{25095887-975A-44EA-9752-76CB00EAB43B}"/>
    <cellStyle name="计算 5" xfId="294" xr:uid="{03767513-0EC6-44E1-96CD-1938D1C12B8F}"/>
    <cellStyle name="计算 6" xfId="295" xr:uid="{BF827DCA-2E78-42B2-85DC-924502689E99}"/>
    <cellStyle name="计算 7" xfId="296" xr:uid="{D2A50CBC-B250-4855-96E3-BB551302CFD2}"/>
    <cellStyle name="计算 8" xfId="297" xr:uid="{1C2ADB7E-7793-40D6-92B5-321491AB34C9}"/>
    <cellStyle name="计算 9" xfId="298" xr:uid="{7F85B8D1-596E-4D37-B0F5-B109726EF8A4}"/>
    <cellStyle name="超链接 2" xfId="267" xr:uid="{D113009F-FC9B-4B64-9A44-2B0347B32C5F}"/>
    <cellStyle name="超链接 3" xfId="268" xr:uid="{47F30529-4FED-456A-AC99-C3660151A76F}"/>
    <cellStyle name="超链接 4" xfId="269" xr:uid="{C98774CE-1F05-4861-9B64-46E49A75297D}"/>
    <cellStyle name="超链接 5" xfId="270" xr:uid="{1E6669EF-DEEE-4D1D-A481-8BEEE2B62DB1}"/>
    <cellStyle name="超链接 6" xfId="271" xr:uid="{54102533-B3C5-449D-BF36-2026FD351607}"/>
    <cellStyle name="超链接 7" xfId="272" xr:uid="{7AC6C9EE-1F99-423E-93BB-7486B158AF83}"/>
    <cellStyle name="超链接 8" xfId="273" xr:uid="{16561B3B-18A1-4957-A8BA-60C50328A7D9}"/>
    <cellStyle name="超链接 9" xfId="274" xr:uid="{984E56AB-C689-4387-9E41-B6F6BFA424AF}"/>
    <cellStyle name="输入 2" xfId="395" xr:uid="{E41B727A-5614-4140-97C8-6AAB93D60007}"/>
    <cellStyle name="输入 3" xfId="396" xr:uid="{73E531F9-5907-417C-BBBF-1D343CAEE301}"/>
    <cellStyle name="输入 4" xfId="397" xr:uid="{7C5E2DDE-E74E-4F4A-A027-F9A776466D7C}"/>
    <cellStyle name="输入 5" xfId="398" xr:uid="{E482F997-18F6-4FA8-AF64-6DDE3DE0FF88}"/>
    <cellStyle name="输入 6" xfId="399" xr:uid="{5638150F-6104-4A4B-A98E-D339720D2CA7}"/>
    <cellStyle name="输入 7" xfId="400" xr:uid="{746E94A7-D698-4E60-BEE1-97674AEA9B8C}"/>
    <cellStyle name="输入 8" xfId="401" xr:uid="{B1088D51-CFF4-4085-BD63-5A2B9BDE580D}"/>
    <cellStyle name="输入 9" xfId="402" xr:uid="{32A45A3F-D61B-4FB8-A87E-B0F3BF3D785A}"/>
    <cellStyle name="输出 2" xfId="387" xr:uid="{0C8DD30D-E20D-43AB-8E92-61C0C97439F4}"/>
    <cellStyle name="输出 3" xfId="388" xr:uid="{11BCAC3E-35AE-405F-AD08-FA0A2AC1C4FF}"/>
    <cellStyle name="输出 4" xfId="389" xr:uid="{9AF96236-8384-4A2C-A5A1-C4252A7AB013}"/>
    <cellStyle name="输出 5" xfId="390" xr:uid="{316D374A-6E16-4899-9DB6-424FC2BF6B25}"/>
    <cellStyle name="输出 6" xfId="391" xr:uid="{E609FAA4-5C50-4853-9469-6DC2B28A57CC}"/>
    <cellStyle name="输出 7" xfId="392" xr:uid="{3EF45A45-9CCC-467B-9267-1FEB42EA573A}"/>
    <cellStyle name="输出 8" xfId="393" xr:uid="{C78EF604-14CE-4A47-8F9A-967A1FADCEE1}"/>
    <cellStyle name="输出 9" xfId="394" xr:uid="{EBDCBEF1-356F-449C-AD4C-B9F4F9F154B8}"/>
    <cellStyle name="适中 2" xfId="379" xr:uid="{9DE72A72-93D4-40DF-BB0D-4ABCC1E45525}"/>
    <cellStyle name="适中 3" xfId="380" xr:uid="{65470912-C715-48E5-9FD8-F62A94087B1E}"/>
    <cellStyle name="适中 4" xfId="381" xr:uid="{B4A6D6B9-8148-4E28-A1E0-544E9BFCF246}"/>
    <cellStyle name="适中 5" xfId="382" xr:uid="{13BD5A06-7AC5-453B-A7EB-206AC2927810}"/>
    <cellStyle name="适中 6" xfId="383" xr:uid="{518165F7-E21F-4E29-B317-CF7D2A570013}"/>
    <cellStyle name="适中 7" xfId="384" xr:uid="{81D88D33-0CCD-401E-95CB-886C4759BDA2}"/>
    <cellStyle name="适中 8" xfId="385" xr:uid="{7584740A-5B30-447A-A278-3A949DC03288}"/>
    <cellStyle name="适中 9" xfId="386" xr:uid="{847D082C-2182-4ABB-BB63-1B5D17416AE7}"/>
    <cellStyle name="链接单元格 2" xfId="323" xr:uid="{68100A24-5E8A-4F9D-9AA4-5A7B2C4A5D19}"/>
    <cellStyle name="链接单元格 3" xfId="324" xr:uid="{C3ED7FDE-81AD-4E87-8D8E-35C32146B0B8}"/>
    <cellStyle name="链接单元格 4" xfId="325" xr:uid="{91E85B78-BCA5-44A5-9CA5-FE9BE68ECD46}"/>
    <cellStyle name="链接单元格 5" xfId="326" xr:uid="{0CE97445-30C1-4504-8FE0-A5DE388A4962}"/>
    <cellStyle name="链接单元格 6" xfId="327" xr:uid="{1E556DF2-F33E-48E8-82A4-0C7FBFF066A9}"/>
    <cellStyle name="链接单元格 7" xfId="328" xr:uid="{535151A5-5226-48EE-9811-F87A54208ABD}"/>
    <cellStyle name="链接单元格 8" xfId="329" xr:uid="{A0340818-DF1A-41E3-AA67-FCCDAC3CEC1B}"/>
    <cellStyle name="链接单元格 9" xfId="330" xr:uid="{AA3AB981-C0BD-4191-9184-8A5407E7F7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laneamento%20Contentores%202025%20(registo%20EAN%20%20SKU)2.xlsx" TargetMode="External"/><Relationship Id="rId2" Type="http://schemas.openxmlformats.org/officeDocument/2006/relationships/externalLinkPath" Target="file:///C:\Users\Jos&#233;%20Polho\iCloudDrive2\iCloudDrive\Gestao%20de%20compras\Planeamento%20Contentores%202025%20(registo%20EAN%20%20SKU)2.xlsx" TargetMode="External"/><Relationship Id="rId1" Type="http://schemas.openxmlformats.org/officeDocument/2006/relationships/externalLinkPath" Target="/Users/Jos&#233;%20Polho/iCloudDrive2/iCloudDrive/Gestao%20de%20compras/Planeamento%20Contentores%202025%20(registo%20EAN%20%20SKU)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eamento Contentores"/>
      <sheetName val="Artigos Primavera"/>
      <sheetName val="Dados Logisticos &quot;Polho&quot;"/>
      <sheetName val="Modelos &quot;Polho&quot; - PENDENTE"/>
      <sheetName val="Conversão Artig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Ref.</v>
          </cell>
          <cell r="C1" t="str">
            <v>EAN</v>
          </cell>
          <cell r="D1" t="str">
            <v>Produtos</v>
          </cell>
        </row>
        <row r="2">
          <cell r="C2" t="str">
            <v>5600413202111</v>
          </cell>
          <cell r="D2" t="str">
            <v>Alpha Gamer Vega Black</v>
          </cell>
        </row>
        <row r="3">
          <cell r="C3" t="str">
            <v>5600413202128</v>
          </cell>
          <cell r="D3" t="str">
            <v>Alpha Gamer Vega Black / Blue</v>
          </cell>
        </row>
        <row r="4">
          <cell r="C4" t="str">
            <v>5600413202135</v>
          </cell>
          <cell r="D4" t="str">
            <v>Alpha Gamer Vega Black / Green</v>
          </cell>
        </row>
        <row r="5">
          <cell r="C5" t="str">
            <v>5600413202159</v>
          </cell>
          <cell r="D5" t="str">
            <v>Alpha Gamer Vega Black / Red</v>
          </cell>
        </row>
        <row r="6">
          <cell r="C6" t="str">
            <v>5600413205372</v>
          </cell>
          <cell r="D6" t="str">
            <v>Alpha Gamer Maya Black</v>
          </cell>
        </row>
        <row r="7">
          <cell r="C7" t="str">
            <v>5600413205389</v>
          </cell>
          <cell r="D7" t="str">
            <v>Alpha Gamer Maya Black /red</v>
          </cell>
        </row>
        <row r="8">
          <cell r="C8" t="str">
            <v>5600413205396</v>
          </cell>
          <cell r="D8" t="str">
            <v>Alpha Gamer Maya Black / blue</v>
          </cell>
        </row>
        <row r="9">
          <cell r="C9" t="str">
            <v>5600413203804</v>
          </cell>
          <cell r="D9" t="str">
            <v>Alpha Gamer Zeta Black</v>
          </cell>
        </row>
        <row r="10">
          <cell r="C10" t="str">
            <v>5600413203811</v>
          </cell>
          <cell r="D10" t="str">
            <v>Alpha Gamer Zeta Black/Red</v>
          </cell>
        </row>
        <row r="11">
          <cell r="C11" t="str">
            <v>5600413203828</v>
          </cell>
          <cell r="D11" t="str">
            <v>Alpha Gamer Zeta Black/Blue</v>
          </cell>
        </row>
        <row r="12">
          <cell r="C12" t="str">
            <v>5600413205761</v>
          </cell>
          <cell r="D12" t="str">
            <v>Alpha Gamer Zeta - White / Black</v>
          </cell>
        </row>
        <row r="13">
          <cell r="C13" t="str">
            <v>5600413204191</v>
          </cell>
          <cell r="D13" t="str">
            <v>Alpha Gamer Cygnus RGB</v>
          </cell>
        </row>
        <row r="14">
          <cell r="C14" t="str">
            <v>5600413205303</v>
          </cell>
          <cell r="D14" t="str">
            <v>Alpha Gamer Atena - Black</v>
          </cell>
        </row>
        <row r="15">
          <cell r="C15" t="str">
            <v>5600413205310</v>
          </cell>
          <cell r="D15" t="str">
            <v>Alpha Gamer Atena - Black / Red</v>
          </cell>
        </row>
        <row r="16">
          <cell r="C16" t="str">
            <v>5600413205327</v>
          </cell>
          <cell r="D16" t="str">
            <v>Alpha Gamer Atena - White / Black</v>
          </cell>
        </row>
        <row r="17">
          <cell r="C17" t="str">
            <v>5600413205488</v>
          </cell>
          <cell r="D17" t="str">
            <v>Alpha Gamer Nysa - Black</v>
          </cell>
        </row>
        <row r="18">
          <cell r="C18" t="str">
            <v>5600413205464</v>
          </cell>
          <cell r="D18" t="str">
            <v>Alpha Gamer Nysa - Black / Red</v>
          </cell>
        </row>
        <row r="19">
          <cell r="C19" t="str">
            <v>5600413205471</v>
          </cell>
          <cell r="D19" t="str">
            <v>Alpha Gamer Nysa - Black / Blue</v>
          </cell>
        </row>
        <row r="20">
          <cell r="C20" t="str">
            <v>5600413205495</v>
          </cell>
          <cell r="D20" t="str">
            <v>Alpha Gamer Nysa - White / Black</v>
          </cell>
        </row>
        <row r="21">
          <cell r="C21" t="str">
            <v>5600413205716</v>
          </cell>
          <cell r="D21" t="str">
            <v>Alpha Gamer Cyra - Black / Red</v>
          </cell>
        </row>
        <row r="22">
          <cell r="C22" t="str">
            <v>5600413205723</v>
          </cell>
          <cell r="D22" t="str">
            <v>Alpha Gamer Cyra - Black / Blue</v>
          </cell>
        </row>
        <row r="23">
          <cell r="C23" t="str">
            <v>5600413205730</v>
          </cell>
          <cell r="D23" t="str">
            <v>Alpha Gamer Cyra - Black</v>
          </cell>
        </row>
        <row r="24">
          <cell r="C24" t="str">
            <v>5600413205747</v>
          </cell>
          <cell r="D24" t="str">
            <v>Alpha Gamer Cyra - Fabric Grey / Black</v>
          </cell>
        </row>
        <row r="25">
          <cell r="C25" t="str">
            <v>5600413206850</v>
          </cell>
          <cell r="D25" t="str">
            <v>Alpha Gamer Cyra - PU leather White</v>
          </cell>
        </row>
        <row r="26">
          <cell r="C26" t="str">
            <v>5600413204238</v>
          </cell>
          <cell r="D26" t="str">
            <v>Alpha Gamer Terion - Black / Grey</v>
          </cell>
        </row>
        <row r="27">
          <cell r="C27" t="str">
            <v>5600413204504</v>
          </cell>
          <cell r="D27" t="str">
            <v>Alpha Gamer Terion - FABRIC Grey</v>
          </cell>
        </row>
        <row r="28">
          <cell r="C28" t="str">
            <v>5600413204320</v>
          </cell>
          <cell r="D28" t="str">
            <v>Alpha Gamer Terion - Black / Red</v>
          </cell>
        </row>
        <row r="29">
          <cell r="C29" t="str">
            <v>5600413204344</v>
          </cell>
          <cell r="D29" t="str">
            <v>Alpha Gamer Terion - White / Black</v>
          </cell>
        </row>
        <row r="30">
          <cell r="C30" t="str">
            <v>5600413204962</v>
          </cell>
          <cell r="D30" t="str">
            <v>Alpha Gamer Alegra Black</v>
          </cell>
        </row>
        <row r="31">
          <cell r="C31" t="str">
            <v>5600413204979</v>
          </cell>
          <cell r="D31" t="str">
            <v>Alpha Gamer Alegra Grey</v>
          </cell>
        </row>
        <row r="32">
          <cell r="C32" t="str">
            <v>5600413204986</v>
          </cell>
          <cell r="D32" t="str">
            <v>Alpha Gamer Alegra White</v>
          </cell>
        </row>
        <row r="33">
          <cell r="C33" t="str">
            <v>5600413204955</v>
          </cell>
          <cell r="D33" t="str">
            <v>Alpha Gamer Alegra Fabric Grey</v>
          </cell>
        </row>
        <row r="34">
          <cell r="C34" t="str">
            <v>5600413204931</v>
          </cell>
          <cell r="D34" t="str">
            <v>Alpha Gamer Alegra Fabric Blue</v>
          </cell>
        </row>
        <row r="35">
          <cell r="C35" t="str">
            <v>5600413204948</v>
          </cell>
          <cell r="D35" t="str">
            <v>Alpha Gamer Alegra Fabric pink</v>
          </cell>
        </row>
        <row r="36">
          <cell r="C36" t="str">
            <v>5600413204900</v>
          </cell>
          <cell r="D36" t="str">
            <v>Alpha Gamer Alegra Fabric Yellow</v>
          </cell>
        </row>
        <row r="37">
          <cell r="C37" t="str">
            <v>5600413204924</v>
          </cell>
          <cell r="D37" t="str">
            <v>Alpha Gamer Alegra Fabric Green</v>
          </cell>
        </row>
        <row r="38">
          <cell r="C38" t="str">
            <v>5600413204917</v>
          </cell>
          <cell r="D38" t="str">
            <v>Alpha Gamer Alegra Fabric Orange</v>
          </cell>
        </row>
        <row r="39">
          <cell r="C39" t="str">
            <v>5600413204818</v>
          </cell>
          <cell r="D39" t="str">
            <v>Alpha Gamer Phenix Grey/Black</v>
          </cell>
        </row>
        <row r="40">
          <cell r="C40" t="str">
            <v>5600413204832</v>
          </cell>
          <cell r="D40" t="str">
            <v>Alpha Gamer Phenix Black/Blue</v>
          </cell>
        </row>
        <row r="41">
          <cell r="C41" t="str">
            <v>5600413204825</v>
          </cell>
          <cell r="D41" t="str">
            <v>Alpha Gamer Phenix Black/Orange</v>
          </cell>
        </row>
        <row r="42">
          <cell r="C42" t="str">
            <v>5600413205174</v>
          </cell>
          <cell r="D42" t="str">
            <v>Alpha Gamer Portugal</v>
          </cell>
        </row>
        <row r="43">
          <cell r="C43" t="str">
            <v>5600413204849</v>
          </cell>
          <cell r="D43" t="str">
            <v>Alpha Gamer Phenix PU Leather Black/Grey</v>
          </cell>
        </row>
        <row r="44">
          <cell r="C44" t="str">
            <v>5600413206379</v>
          </cell>
          <cell r="D44" t="str">
            <v>Alpha Gamer Nebula Office edition Brown</v>
          </cell>
        </row>
        <row r="45">
          <cell r="C45" t="str">
            <v>5600413204054</v>
          </cell>
          <cell r="D45" t="str">
            <v>Alpha Gamer Nebula master Grey/Black</v>
          </cell>
        </row>
        <row r="46">
          <cell r="C46" t="str">
            <v>5600413205006</v>
          </cell>
          <cell r="D46" t="str">
            <v>Alpha Gamer Nebula master Grey/Blue</v>
          </cell>
        </row>
        <row r="47">
          <cell r="C47" t="str">
            <v>5600413205013</v>
          </cell>
          <cell r="D47" t="str">
            <v>Alpha Gamer Nebula master Grey/Pink</v>
          </cell>
        </row>
        <row r="48">
          <cell r="C48" t="str">
            <v>5600413205020</v>
          </cell>
          <cell r="D48" t="str">
            <v>Alpha Gamer Nebula master Grey/Orange</v>
          </cell>
        </row>
        <row r="49">
          <cell r="C49" t="str">
            <v>5600413204061</v>
          </cell>
          <cell r="D49" t="str">
            <v>Alpha Gamer Nebula master XL Grey/Black</v>
          </cell>
        </row>
        <row r="50">
          <cell r="C50" t="str">
            <v>5600413205334</v>
          </cell>
          <cell r="D50" t="str">
            <v>Alpha Gamer Gaia - Dark Grey</v>
          </cell>
        </row>
        <row r="51">
          <cell r="C51" t="str">
            <v>5600413205419</v>
          </cell>
          <cell r="D51" t="str">
            <v>Alpha Gamer Gaia - Dark Grey / Blue</v>
          </cell>
        </row>
        <row r="52">
          <cell r="C52" t="str">
            <v>5600413205358</v>
          </cell>
          <cell r="D52" t="str">
            <v>Alpha Gamer Gaia - Dark Grey / Orange</v>
          </cell>
        </row>
        <row r="53">
          <cell r="C53" t="str">
            <v>5600413205341</v>
          </cell>
          <cell r="D53" t="str">
            <v>Alpha Gamer Gaia - Light Grey</v>
          </cell>
        </row>
        <row r="54">
          <cell r="C54" t="str">
            <v>5600413204276</v>
          </cell>
          <cell r="D54" t="str">
            <v>Alpha Gamer Nimbus Black</v>
          </cell>
        </row>
        <row r="55">
          <cell r="C55" t="str">
            <v>5600413204269</v>
          </cell>
          <cell r="D55" t="str">
            <v>Alpha Gamer Nimbus Black / Red</v>
          </cell>
        </row>
        <row r="56">
          <cell r="C56" t="str">
            <v>5600413205792</v>
          </cell>
          <cell r="D56" t="str">
            <v>Alpha Gamer Nimbus - Office Edition Brown</v>
          </cell>
        </row>
        <row r="57">
          <cell r="C57" t="str">
            <v>5600413205990</v>
          </cell>
          <cell r="D57" t="str">
            <v>Alpha Gamer Nimbus - Pink Fabric Edition</v>
          </cell>
        </row>
        <row r="58">
          <cell r="C58" t="str">
            <v>5600413204283</v>
          </cell>
          <cell r="D58" t="str">
            <v>Alpha Gamer Nimbus White</v>
          </cell>
        </row>
        <row r="59">
          <cell r="C59" t="str">
            <v>5600413206010</v>
          </cell>
          <cell r="D59" t="str">
            <v>Alpha Gamer Hera - Black / Red</v>
          </cell>
        </row>
        <row r="60">
          <cell r="C60" t="str">
            <v>5600413206027</v>
          </cell>
          <cell r="D60" t="str">
            <v>Alpha Gamer Hera - Black / Grey</v>
          </cell>
        </row>
        <row r="61">
          <cell r="C61" t="str">
            <v>5600413206034</v>
          </cell>
          <cell r="D61" t="str">
            <v>Alpha Gamer Surya - Black / Red</v>
          </cell>
        </row>
        <row r="62">
          <cell r="C62" t="str">
            <v>5600413206041</v>
          </cell>
          <cell r="D62" t="str">
            <v>Alpha Gamer Surya - Black</v>
          </cell>
        </row>
        <row r="63">
          <cell r="C63" t="str">
            <v>5600413206058</v>
          </cell>
          <cell r="D63" t="str">
            <v>Alpha Gamer Surya - Black / White</v>
          </cell>
        </row>
        <row r="64">
          <cell r="C64" t="str">
            <v>5600413206331</v>
          </cell>
          <cell r="D64" t="str">
            <v>Offy Elya - Cadeira de escritório em malha</v>
          </cell>
        </row>
        <row r="65">
          <cell r="C65" t="str">
            <v>5600413206324</v>
          </cell>
          <cell r="D65" t="str">
            <v>Offy Lyma - Cadeira de escritório em malha</v>
          </cell>
        </row>
        <row r="66">
          <cell r="C66" t="str">
            <v>5600413206317</v>
          </cell>
          <cell r="D66" t="str">
            <v>Offy Cyla - Cadeira de escritório em malha</v>
          </cell>
        </row>
        <row r="67">
          <cell r="C67" t="str">
            <v>5600413206386</v>
          </cell>
          <cell r="D67" t="str">
            <v>Offy Lyca Black - Cadeira de escritório em malha</v>
          </cell>
        </row>
        <row r="68">
          <cell r="C68" t="str">
            <v>5600413206409</v>
          </cell>
          <cell r="D68" t="str">
            <v>Offy Lyca White - Cadeira de escritório em malha</v>
          </cell>
        </row>
        <row r="69">
          <cell r="C69">
            <v>5600413207390</v>
          </cell>
          <cell r="D69" t="str">
            <v>Alpha Gamer Luna V2 - Cadeira em malha</v>
          </cell>
        </row>
        <row r="70">
          <cell r="C70" t="str">
            <v>5600413206362</v>
          </cell>
          <cell r="D70" t="str">
            <v>Alpha Gamer Iris - Cadeira em malha</v>
          </cell>
        </row>
        <row r="71">
          <cell r="C71" t="str">
            <v>5600413206355</v>
          </cell>
          <cell r="D71" t="str">
            <v>Alpha Gamer Aurora - Cadeira em malha</v>
          </cell>
        </row>
        <row r="72">
          <cell r="C72" t="str">
            <v>5600413206416</v>
          </cell>
          <cell r="D72" t="str">
            <v>Alpha Gamer Astrid - Cadeira em malha</v>
          </cell>
        </row>
        <row r="73">
          <cell r="C73" t="str">
            <v>5600413206423</v>
          </cell>
          <cell r="D73" t="str">
            <v>Alpha Gamer Stella Black - Cadeira em malha</v>
          </cell>
        </row>
        <row r="74">
          <cell r="C74" t="str">
            <v>5600413206430</v>
          </cell>
          <cell r="D74" t="str">
            <v>Alpha Gamer Stella Grey - Cadeira em malha</v>
          </cell>
        </row>
        <row r="75">
          <cell r="C75" t="str">
            <v>5600413206447</v>
          </cell>
          <cell r="D75" t="str">
            <v>Alpha Gamer Stella White / Grey - Cadeira em malha</v>
          </cell>
        </row>
        <row r="76">
          <cell r="C76" t="str">
            <v>5600413207154</v>
          </cell>
          <cell r="D76" t="str">
            <v>Alpha Gamer Galaxa - Fabric Grey / Black</v>
          </cell>
        </row>
        <row r="77">
          <cell r="C77" t="str">
            <v>5600413207161</v>
          </cell>
          <cell r="D77" t="str">
            <v>Alpha Gamer Galaxa - PU Black</v>
          </cell>
        </row>
        <row r="78">
          <cell r="C78" t="str">
            <v>5600413206997</v>
          </cell>
          <cell r="D78" t="str">
            <v>Alpha Gamer Nebula XL V2</v>
          </cell>
        </row>
        <row r="79">
          <cell r="C79" t="str">
            <v>5600413207000</v>
          </cell>
          <cell r="D79" t="str">
            <v>Alpha Gamer Alegra - Fabric Yellow / Black V2</v>
          </cell>
        </row>
        <row r="80">
          <cell r="C80" t="str">
            <v>5600413207017</v>
          </cell>
          <cell r="D80" t="str">
            <v>Alpha Gamer Alegra - Fabric Orange / Black V2</v>
          </cell>
        </row>
        <row r="81">
          <cell r="C81" t="str">
            <v>5600413207024</v>
          </cell>
          <cell r="D81" t="str">
            <v>Alpha Gamer Alegra - Fabric Green / Black V2</v>
          </cell>
        </row>
        <row r="82">
          <cell r="C82" t="str">
            <v>5600413207031</v>
          </cell>
          <cell r="D82" t="str">
            <v>Alpha Gamer Alegra - Fabric Blue / Black V2</v>
          </cell>
        </row>
        <row r="83">
          <cell r="C83" t="str">
            <v>5600413207048</v>
          </cell>
          <cell r="D83" t="str">
            <v>Alpha Gamer Alegra - Fabric Pink / Black V2</v>
          </cell>
        </row>
        <row r="84">
          <cell r="C84" t="str">
            <v>5600413207055</v>
          </cell>
          <cell r="D84" t="str">
            <v>Alpha Gamer Alegra - Fabric Grey / Black V2</v>
          </cell>
        </row>
        <row r="85">
          <cell r="C85" t="str">
            <v>5600413207062</v>
          </cell>
          <cell r="D85" t="str">
            <v>Alpha Gamer Alegra - PU Leather Black V2</v>
          </cell>
        </row>
        <row r="86">
          <cell r="C86" t="str">
            <v>5600413207079</v>
          </cell>
          <cell r="D86" t="str">
            <v>Alpha Gamer Alegra - PU Leather Grey / Black V2</v>
          </cell>
        </row>
        <row r="87">
          <cell r="C87" t="str">
            <v>5600413207086</v>
          </cell>
          <cell r="D87" t="str">
            <v>Alpha Gamer Alegra - PU Leather White / Black V2</v>
          </cell>
        </row>
        <row r="88">
          <cell r="C88" t="str">
            <v>5600413207093</v>
          </cell>
          <cell r="D88" t="str">
            <v>Alpha Gamer Gaia - Dark Grey V2</v>
          </cell>
        </row>
        <row r="89">
          <cell r="C89" t="str">
            <v>5600413207109</v>
          </cell>
          <cell r="D89" t="str">
            <v>Alpha Gamer Gaia - Light Grey V2</v>
          </cell>
        </row>
        <row r="90">
          <cell r="C90" t="str">
            <v>5600413207116</v>
          </cell>
          <cell r="D90" t="str">
            <v>Alpha Gamer Gaia - Dark Grey / Orange V2</v>
          </cell>
        </row>
        <row r="91">
          <cell r="C91" t="str">
            <v>5600413207123</v>
          </cell>
          <cell r="D91" t="str">
            <v>Alpha Gamer Gaia - Dark Grey / Black V2</v>
          </cell>
        </row>
        <row r="92">
          <cell r="C92" t="str">
            <v>5600413207130</v>
          </cell>
          <cell r="D92" t="str">
            <v>Alpha Gamer Gaia - Dark Grey / Blue V2</v>
          </cell>
        </row>
        <row r="93">
          <cell r="C93" t="str">
            <v>5600413206294</v>
          </cell>
          <cell r="D93" t="str">
            <v>Alpha Gamer Portugal 24 - Cadeira Gaming</v>
          </cell>
        </row>
        <row r="94">
          <cell r="C94" t="str">
            <v>5600413205563</v>
          </cell>
          <cell r="D94" t="str">
            <v>Alpha Gamer Kira V3 - Gaming Table</v>
          </cell>
        </row>
        <row r="95">
          <cell r="C95" t="str">
            <v>5600413207291</v>
          </cell>
          <cell r="D95" t="str">
            <v xml:space="preserve">Offy Ryva Oak - Secretária Elevatoria Eléctrica </v>
          </cell>
        </row>
        <row r="96">
          <cell r="C96" t="str">
            <v>5600413207284</v>
          </cell>
          <cell r="D96" t="str">
            <v xml:space="preserve">Offy Ryva Black - Secretária Elevatoria Eléctrica </v>
          </cell>
        </row>
        <row r="97">
          <cell r="C97" t="str">
            <v>5600413207512</v>
          </cell>
          <cell r="D97" t="str">
            <v>Offy Ryva White / Oak  - Secretária Elevatoria Eléctrica</v>
          </cell>
        </row>
        <row r="98">
          <cell r="C98">
            <v>5600413207741</v>
          </cell>
          <cell r="D98" t="str">
            <v>Offy Lyma Grey</v>
          </cell>
        </row>
        <row r="99">
          <cell r="C99">
            <v>5600413207758</v>
          </cell>
          <cell r="D99" t="str">
            <v>Alpha Gamer Luna Grey</v>
          </cell>
        </row>
        <row r="100">
          <cell r="C100" t="str">
            <v>5600413205556</v>
          </cell>
          <cell r="D100" t="str">
            <v>Alpha Gamer Raya V2 - Gaming Table</v>
          </cell>
        </row>
        <row r="101">
          <cell r="C101">
            <v>5600413207635</v>
          </cell>
          <cell r="D101" t="str">
            <v>Alpha Gamer Alegra Evo - Midnight Black PU</v>
          </cell>
        </row>
        <row r="102">
          <cell r="C102">
            <v>5600413207642</v>
          </cell>
          <cell r="D102" t="str">
            <v>Alpha Gamer Alegra Evo - Frost White PU</v>
          </cell>
        </row>
        <row r="103">
          <cell r="C103">
            <v>5600413207659</v>
          </cell>
          <cell r="D103" t="str">
            <v>Alpha Gamer Alegra Evo - Titanium Grey PU</v>
          </cell>
        </row>
        <row r="104">
          <cell r="C104">
            <v>5600413207666</v>
          </cell>
          <cell r="D104" t="str">
            <v>Alpha Gamer Alegra Evo - Smoke Grey Fabric</v>
          </cell>
        </row>
        <row r="105">
          <cell r="C105">
            <v>5600413207673</v>
          </cell>
          <cell r="D105" t="str">
            <v>Alpha Gamer Alegra Evo - Blue Dusk Fabric</v>
          </cell>
        </row>
        <row r="106">
          <cell r="C106">
            <v>5600413207680</v>
          </cell>
          <cell r="D106" t="str">
            <v>Alpha Gamer Alegra Evo - Sage Green Fabric</v>
          </cell>
        </row>
        <row r="107">
          <cell r="C107">
            <v>5600413207697</v>
          </cell>
          <cell r="D107" t="str">
            <v>Alpha Gamer Alegra Evo - Lavender Haze Fabric</v>
          </cell>
        </row>
        <row r="108">
          <cell r="C108">
            <v>5600413207703</v>
          </cell>
          <cell r="D108" t="str">
            <v>Alpha Gamer Alegra Evo - Shadow Black Fabric</v>
          </cell>
        </row>
        <row r="109">
          <cell r="C109">
            <v>5600413207710</v>
          </cell>
          <cell r="D109" t="str">
            <v>Alpha Gamer Alegra Evo - Grey Storm Fabric</v>
          </cell>
        </row>
        <row r="110">
          <cell r="C110" t="str">
            <v>5600413207789</v>
          </cell>
          <cell r="D110" t="str">
            <v>Alpha Gamer Wave Black</v>
          </cell>
        </row>
        <row r="111">
          <cell r="C111" t="str">
            <v>5600413207796</v>
          </cell>
          <cell r="D111" t="str">
            <v>Alpha Gamer Wave Black / Grey</v>
          </cell>
        </row>
        <row r="112">
          <cell r="C112" t="str">
            <v>5600413207802</v>
          </cell>
          <cell r="D112" t="str">
            <v>Alpha Gamer Mist Black</v>
          </cell>
        </row>
        <row r="113">
          <cell r="C113" t="str">
            <v>5600413207819</v>
          </cell>
          <cell r="D113" t="str">
            <v>Alpha Gamer Mist Black / Grey</v>
          </cell>
        </row>
        <row r="114">
          <cell r="C114" t="str">
            <v>5600413207826</v>
          </cell>
          <cell r="D114" t="str">
            <v>Alpha Gamer Tide Black</v>
          </cell>
        </row>
        <row r="115">
          <cell r="C115" t="str">
            <v>5600413207833</v>
          </cell>
          <cell r="D115" t="str">
            <v>Alpha Gamer Tide Grey</v>
          </cell>
        </row>
        <row r="116">
          <cell r="C116" t="str">
            <v>5600413207963</v>
          </cell>
          <cell r="D116" t="str">
            <v>Alpha Gamer Swell Black</v>
          </cell>
        </row>
        <row r="117">
          <cell r="C117" t="str">
            <v>5600413207970</v>
          </cell>
          <cell r="D117" t="str">
            <v>Alpha Gamer Swell Grey</v>
          </cell>
        </row>
        <row r="118">
          <cell r="C118" t="str">
            <v>5600413207987</v>
          </cell>
          <cell r="D118" t="str">
            <v>Alpha Gamer Swell White / Grey</v>
          </cell>
        </row>
        <row r="119">
          <cell r="C119" t="str">
            <v>5600413207727</v>
          </cell>
          <cell r="D119" t="str">
            <v>Alpha Gamer Gaia - Dark Grey / White V2</v>
          </cell>
        </row>
        <row r="120">
          <cell r="C120" t="str">
            <v>5600413207734</v>
          </cell>
          <cell r="D120" t="str">
            <v>Alpha Gamer Gaia - Light Grey / White V2</v>
          </cell>
        </row>
        <row r="121">
          <cell r="C121" t="str">
            <v>5600413207321</v>
          </cell>
          <cell r="D121" t="str">
            <v>Alpha Gamer Gemina RGB Black - Secretária Gaming</v>
          </cell>
        </row>
        <row r="122">
          <cell r="C122" t="str">
            <v>5600413207338</v>
          </cell>
          <cell r="D122" t="str">
            <v>Alpha Gamer Gemina Black - Secretária Gaming</v>
          </cell>
        </row>
        <row r="123">
          <cell r="C123" t="str">
            <v>5600413207345</v>
          </cell>
          <cell r="D123" t="str">
            <v>Alpha Gamer Starla RGB Black - Secretária gaming</v>
          </cell>
        </row>
        <row r="124">
          <cell r="C124" t="str">
            <v>5600413207352</v>
          </cell>
          <cell r="D124" t="str">
            <v>Alpha Gamer Starla RGB White - Secretária gaming</v>
          </cell>
        </row>
        <row r="125">
          <cell r="C125">
            <v>5600413207307</v>
          </cell>
          <cell r="D125" t="str">
            <v>Alpha Gamer Zorya RGB Black - Secretaria Gaming Altura Regulável</v>
          </cell>
        </row>
        <row r="126">
          <cell r="C126">
            <v>5600413207314</v>
          </cell>
          <cell r="D126" t="str">
            <v>Alpha Gamer Zorya RGB White - Secretaria Gaming Altura Regulável</v>
          </cell>
        </row>
        <row r="127">
          <cell r="C127" t="str">
            <v>5600413208151</v>
          </cell>
          <cell r="D127" t="str">
            <v>Alpha Gamer Zorya Pro RGB Black - Secretaria Gaming Altura Regulável</v>
          </cell>
        </row>
        <row r="128">
          <cell r="C128" t="str">
            <v>5600413208168</v>
          </cell>
          <cell r="D128" t="str">
            <v>Alpha Gamer Zorya Pro RGB White - Secretaria Gaming Altura Regulável</v>
          </cell>
        </row>
        <row r="129">
          <cell r="C129" t="str">
            <v>5600413208458</v>
          </cell>
          <cell r="D129" t="str">
            <v>Alpha Gamer Alegra Evo Lyte - Grey Fabric</v>
          </cell>
        </row>
        <row r="130">
          <cell r="C130" t="str">
            <v>5600413208465</v>
          </cell>
          <cell r="D130" t="str">
            <v>Alpha Gamer Alegra Evo Lyte - Black Fabric</v>
          </cell>
        </row>
        <row r="131">
          <cell r="C131" t="str">
            <v>5600413208540</v>
          </cell>
          <cell r="D131" t="str">
            <v>Offy Prisma Ergonomic Office Chair Black</v>
          </cell>
        </row>
        <row r="132">
          <cell r="C132" t="str">
            <v>5600413208557</v>
          </cell>
          <cell r="D132" t="str">
            <v>Offy Prisma Ergonomic Office Chair White / Pink</v>
          </cell>
        </row>
        <row r="133">
          <cell r="C133" t="str">
            <v>5600413208564</v>
          </cell>
          <cell r="D133" t="str">
            <v>Offy Prisma Ergonomic Office Chair White / Turquoise</v>
          </cell>
        </row>
        <row r="134">
          <cell r="C134" t="str">
            <v>5600413208571</v>
          </cell>
          <cell r="D134" t="str">
            <v>Offy Prisma Ergonomic Office Chair White / Grey</v>
          </cell>
        </row>
        <row r="135">
          <cell r="C135" t="str">
            <v>5600413208588</v>
          </cell>
          <cell r="D135" t="str">
            <v>Offy Prisma Ergonomic Office Chair White / Beige</v>
          </cell>
        </row>
        <row r="136">
          <cell r="C136" t="str">
            <v>5600413208342</v>
          </cell>
          <cell r="D136" t="str">
            <v>Alpha Gamer Yara Dark Grey Fabric</v>
          </cell>
        </row>
        <row r="137">
          <cell r="C137" t="str">
            <v>5600413208359</v>
          </cell>
          <cell r="D137" t="str">
            <v>Alpha Gamer Yara Light Grey Fabric</v>
          </cell>
        </row>
        <row r="138">
          <cell r="C138" t="str">
            <v>5600413208366</v>
          </cell>
          <cell r="D138" t="str">
            <v>Alpha Gamer Yara Black Fabric</v>
          </cell>
        </row>
        <row r="139">
          <cell r="C139" t="str">
            <v>5600413208373</v>
          </cell>
          <cell r="D139" t="str">
            <v>Alpha Gamer Yara Black PU</v>
          </cell>
        </row>
        <row r="140">
          <cell r="C140" t="str">
            <v>5600413208380</v>
          </cell>
          <cell r="D140" t="str">
            <v>Alpha Gamer Yara White PU</v>
          </cell>
        </row>
        <row r="141">
          <cell r="C141" t="str">
            <v>5600413208403</v>
          </cell>
          <cell r="D141" t="str">
            <v>Alpha Gamer Vectra Dark Grey Fabric</v>
          </cell>
        </row>
        <row r="142">
          <cell r="C142" t="str">
            <v>5600413208410</v>
          </cell>
          <cell r="D142" t="str">
            <v>Alpha Gamer Vectra Light Grey Fabric</v>
          </cell>
        </row>
        <row r="143">
          <cell r="C143" t="str">
            <v>5600413208427</v>
          </cell>
          <cell r="D143" t="str">
            <v>Alpha Gamer Vectra Black PU</v>
          </cell>
        </row>
        <row r="144">
          <cell r="C144" t="str">
            <v>5600413208434</v>
          </cell>
          <cell r="D144" t="str">
            <v>Alpha Gamer Vectra White PU</v>
          </cell>
        </row>
        <row r="145">
          <cell r="C145">
            <v>5600413208632</v>
          </cell>
          <cell r="D145" t="str">
            <v>Alpha Gamer Alegra Lite - Smoke Grey Fabric</v>
          </cell>
        </row>
        <row r="146">
          <cell r="C146" t="str">
            <v>AGGEMINARGBBK</v>
          </cell>
          <cell r="D146" t="str">
            <v>Alpha Gamer Gemina RGB Black - Secretária Gaming</v>
          </cell>
        </row>
        <row r="147">
          <cell r="C147" t="str">
            <v>AGGEMINABK</v>
          </cell>
          <cell r="D147" t="str">
            <v>Alpha Gamer Gemina Black - Secretária Gaming</v>
          </cell>
        </row>
        <row r="148">
          <cell r="C148" t="str">
            <v>AGSTARLARGBBK</v>
          </cell>
          <cell r="D148" t="str">
            <v>Alpha Gamer Starla RGB Black - Secretária gaming</v>
          </cell>
        </row>
        <row r="149">
          <cell r="C149" t="str">
            <v>AGSTARLARGBWT</v>
          </cell>
          <cell r="D149" t="str">
            <v>Alpha Gamer Starla RGB White - Secretária gaming</v>
          </cell>
        </row>
        <row r="150">
          <cell r="C150" t="str">
            <v>AGZORYARGBBK</v>
          </cell>
          <cell r="D150" t="str">
            <v>Alpha Gamer Zorya RGB Black - Secretaria Gaming Altura Regulável</v>
          </cell>
        </row>
        <row r="151">
          <cell r="C151" t="str">
            <v>AGZORYARGBWT</v>
          </cell>
          <cell r="D151" t="str">
            <v>Alpha Gamer Zorya RGB White - Secretaria Gaming Altura Regulável</v>
          </cell>
        </row>
        <row r="152">
          <cell r="C152" t="str">
            <v>AGZORYAPRORGBBK</v>
          </cell>
          <cell r="D152" t="str">
            <v>Alpha Gamer Zorya Pro RGB Black - Secretaria Gaming Altura Regulável</v>
          </cell>
        </row>
        <row r="153">
          <cell r="C153" t="str">
            <v>AGZORYAPRORGBWT</v>
          </cell>
          <cell r="D153" t="str">
            <v>Alpha Gamer Zorya Pro RGB White - Secretaria Gaming Altura Regulável</v>
          </cell>
        </row>
        <row r="154">
          <cell r="C154" t="str">
            <v>AGVEGA-BK</v>
          </cell>
          <cell r="D154" t="str">
            <v>Alpha Gamer Vega Black</v>
          </cell>
        </row>
        <row r="155">
          <cell r="C155" t="str">
            <v>AGVEGA-BK-BL</v>
          </cell>
          <cell r="D155" t="str">
            <v>Alpha Gamer Vega Black / Blue</v>
          </cell>
        </row>
        <row r="156">
          <cell r="C156" t="str">
            <v>AGVEGA-BK-GRN</v>
          </cell>
          <cell r="D156" t="str">
            <v>Alpha Gamer Vega Black / Green</v>
          </cell>
        </row>
        <row r="157">
          <cell r="C157" t="str">
            <v>AGVEGA-BK-R</v>
          </cell>
          <cell r="D157" t="str">
            <v>Alpha Gamer Vega Black / Red</v>
          </cell>
        </row>
        <row r="158">
          <cell r="C158" t="str">
            <v>AGMAYA-BK</v>
          </cell>
          <cell r="D158" t="str">
            <v>Alpha Gamer Maya Black</v>
          </cell>
        </row>
        <row r="159">
          <cell r="C159" t="str">
            <v>AGMAYA-BK-RED</v>
          </cell>
          <cell r="D159" t="str">
            <v>Alpha Gamer Maya Black /red</v>
          </cell>
        </row>
        <row r="160">
          <cell r="C160" t="str">
            <v>AGMAYA-BK-BLUE</v>
          </cell>
          <cell r="D160" t="str">
            <v>Alpha Gamer Maya Black / blue</v>
          </cell>
        </row>
        <row r="161">
          <cell r="C161" t="str">
            <v>AGZETA-BK</v>
          </cell>
          <cell r="D161" t="str">
            <v>Alpha Gamer Zeta Black</v>
          </cell>
        </row>
        <row r="162">
          <cell r="C162" t="str">
            <v>AGZETA-BK-R</v>
          </cell>
          <cell r="D162" t="str">
            <v>Alpha Gamer Zeta Black/Red</v>
          </cell>
        </row>
        <row r="163">
          <cell r="C163" t="str">
            <v>AGZETA-BK-BL</v>
          </cell>
          <cell r="D163" t="str">
            <v>Alpha Gamer Zeta Black/Blue</v>
          </cell>
        </row>
        <row r="164">
          <cell r="C164" t="str">
            <v>AGZETA-WHT-BK</v>
          </cell>
          <cell r="D164" t="str">
            <v>Alpha Gamer Zeta - White / Black</v>
          </cell>
        </row>
        <row r="165">
          <cell r="C165" t="str">
            <v>AGCYGNUS</v>
          </cell>
          <cell r="D165" t="str">
            <v>Alpha Gamer Cygnus RGB</v>
          </cell>
        </row>
        <row r="166">
          <cell r="C166" t="str">
            <v>AGATENA-BK</v>
          </cell>
          <cell r="D166" t="str">
            <v>Alpha Gamer Atena - Black</v>
          </cell>
        </row>
        <row r="167">
          <cell r="C167" t="str">
            <v>AGATENA-BK-RED</v>
          </cell>
          <cell r="D167" t="str">
            <v>Alpha Gamer Atena - Black / Red</v>
          </cell>
        </row>
        <row r="168">
          <cell r="C168" t="str">
            <v>AGATENA-WHT-BK</v>
          </cell>
          <cell r="D168" t="str">
            <v>Alpha Gamer Atena - White / Black</v>
          </cell>
        </row>
        <row r="169">
          <cell r="C169" t="str">
            <v>AGNYSA-BK</v>
          </cell>
          <cell r="D169" t="str">
            <v>Alpha Gamer Nysa - Black</v>
          </cell>
        </row>
        <row r="170">
          <cell r="C170" t="str">
            <v>AGNYSA-BK-RED</v>
          </cell>
          <cell r="D170" t="str">
            <v>Alpha Gamer Nysa - Black / Red</v>
          </cell>
        </row>
        <row r="171">
          <cell r="C171" t="str">
            <v>AGNYSA-BK-BLUE</v>
          </cell>
          <cell r="D171" t="str">
            <v>Alpha Gamer Nysa - Black / Blue</v>
          </cell>
        </row>
        <row r="172">
          <cell r="C172" t="str">
            <v>AGNYSA-WHT-BK</v>
          </cell>
          <cell r="D172" t="str">
            <v>Alpha Gamer Nysa - White / Black</v>
          </cell>
        </row>
        <row r="173">
          <cell r="C173" t="str">
            <v>AGCYRA-BK-RED</v>
          </cell>
          <cell r="D173" t="str">
            <v>Alpha Gamer Cyra - Black / Red</v>
          </cell>
        </row>
        <row r="174">
          <cell r="C174" t="str">
            <v>AGCYRA-BK-BLUE</v>
          </cell>
          <cell r="D174" t="str">
            <v>Alpha Gamer Cyra - Black / Blue</v>
          </cell>
        </row>
        <row r="175">
          <cell r="C175" t="str">
            <v>AGCYRA-BK</v>
          </cell>
          <cell r="D175" t="str">
            <v>Alpha Gamer Cyra - Black</v>
          </cell>
        </row>
        <row r="176">
          <cell r="C176" t="str">
            <v>AGCYRA-F-GREY</v>
          </cell>
          <cell r="D176" t="str">
            <v>Alpha Gamer Cyra - Fabric Grey / Black</v>
          </cell>
        </row>
        <row r="177">
          <cell r="C177" t="str">
            <v xml:space="preserve">AGCYRA-WHT-BK </v>
          </cell>
          <cell r="D177" t="str">
            <v>Alpha Gamer Cyra - PU leather White</v>
          </cell>
        </row>
        <row r="178">
          <cell r="C178" t="str">
            <v>AGTERION-BK-GRY</v>
          </cell>
          <cell r="D178" t="str">
            <v>Alpha Gamer Terion - Black / Grey</v>
          </cell>
        </row>
        <row r="179">
          <cell r="C179" t="str">
            <v>AGTERION-FB-GRY</v>
          </cell>
          <cell r="D179" t="str">
            <v>Alpha Gamer Terion - FABRIC Grey</v>
          </cell>
        </row>
        <row r="180">
          <cell r="C180" t="str">
            <v>AGTERION-BK-R</v>
          </cell>
          <cell r="D180" t="str">
            <v>Alpha Gamer Terion - Black / Red</v>
          </cell>
        </row>
        <row r="181">
          <cell r="C181" t="str">
            <v>AGTERION-W-BK</v>
          </cell>
          <cell r="D181" t="str">
            <v>Alpha Gamer Terion - White / Black</v>
          </cell>
        </row>
        <row r="182">
          <cell r="C182" t="str">
            <v>AGALEGRA-PUL-BK</v>
          </cell>
          <cell r="D182" t="str">
            <v>Alpha Gamer Alegra Black</v>
          </cell>
        </row>
        <row r="183">
          <cell r="C183" t="str">
            <v>AGALEGRA-PUL-GRY</v>
          </cell>
          <cell r="D183" t="str">
            <v>Alpha Gamer Alegra Grey</v>
          </cell>
        </row>
        <row r="184">
          <cell r="C184" t="str">
            <v>AGALEGRA-PUL-WHT</v>
          </cell>
          <cell r="D184" t="str">
            <v>Alpha Gamer Alegra White</v>
          </cell>
        </row>
        <row r="185">
          <cell r="C185" t="str">
            <v>AGALEGRA-F-GRY</v>
          </cell>
          <cell r="D185" t="str">
            <v>Alpha Gamer Alegra Fabric Grey</v>
          </cell>
        </row>
        <row r="186">
          <cell r="C186" t="str">
            <v>AGALEGRA-F-BL</v>
          </cell>
          <cell r="D186" t="str">
            <v>Alpha Gamer Alegra Fabric Blue</v>
          </cell>
        </row>
        <row r="187">
          <cell r="C187" t="str">
            <v>AGALEGRA-F-PK</v>
          </cell>
          <cell r="D187" t="str">
            <v>Alpha Gamer Alegra Fabric pink</v>
          </cell>
        </row>
        <row r="188">
          <cell r="C188" t="str">
            <v>AGALEGRA-F-YL</v>
          </cell>
          <cell r="D188" t="str">
            <v>Alpha Gamer Alegra Fabric Yellow</v>
          </cell>
        </row>
        <row r="189">
          <cell r="C189" t="str">
            <v>AGALEGRA-F-GRN</v>
          </cell>
          <cell r="D189" t="str">
            <v>Alpha Gamer Alegra Fabric Green</v>
          </cell>
        </row>
        <row r="190">
          <cell r="C190" t="str">
            <v>AGALEGRA-F-OR</v>
          </cell>
          <cell r="D190" t="str">
            <v>Alpha Gamer Alegra Fabric Orange</v>
          </cell>
        </row>
        <row r="191">
          <cell r="C191" t="str">
            <v>AGPHENIX-F-GRY-BK</v>
          </cell>
          <cell r="D191" t="str">
            <v>Alpha Gamer Phenix Grey/Black</v>
          </cell>
        </row>
        <row r="192">
          <cell r="C192" t="str">
            <v>AGPHENIX-F-GRY-BK-BL</v>
          </cell>
          <cell r="D192" t="str">
            <v>Alpha Gamer Phenix Black/Blue</v>
          </cell>
        </row>
        <row r="193">
          <cell r="C193" t="str">
            <v>AGPHENIX-F-GRY-BK-O</v>
          </cell>
          <cell r="D193" t="str">
            <v>Alpha Gamer Phenix Black/Orange</v>
          </cell>
        </row>
        <row r="194">
          <cell r="C194" t="str">
            <v>AGPTGC</v>
          </cell>
          <cell r="D194" t="str">
            <v>Alpha Gamer Portugal</v>
          </cell>
        </row>
        <row r="195">
          <cell r="C195" t="str">
            <v>AGPHENIX-PUL-BK-GRY</v>
          </cell>
          <cell r="D195" t="str">
            <v>Alpha Gamer Phenix PU Leather Black/Grey</v>
          </cell>
        </row>
        <row r="196">
          <cell r="C196" t="str">
            <v xml:space="preserve">AGNEBULAOE-PU-BWN </v>
          </cell>
          <cell r="D196" t="str">
            <v>Alpha Gamer Nebula Office edition Brown</v>
          </cell>
        </row>
        <row r="197">
          <cell r="C197" t="str">
            <v>AGNEBULA</v>
          </cell>
          <cell r="D197" t="str">
            <v>Alpha Gamer Nebula master Grey/Black</v>
          </cell>
        </row>
        <row r="198">
          <cell r="C198" t="str">
            <v>AGNEBULA-GRY-BL</v>
          </cell>
          <cell r="D198" t="str">
            <v>Alpha Gamer Nebula master Grey/Blue</v>
          </cell>
        </row>
        <row r="199">
          <cell r="C199" t="str">
            <v>AGNEBULA-GRY-PK</v>
          </cell>
          <cell r="D199" t="str">
            <v>Alpha Gamer Nebula master Grey/Pink</v>
          </cell>
        </row>
        <row r="200">
          <cell r="C200" t="str">
            <v>AGNEBULA-GRY-O</v>
          </cell>
          <cell r="D200" t="str">
            <v>Alpha Gamer Nebula master Grey/Orange</v>
          </cell>
        </row>
        <row r="201">
          <cell r="C201" t="str">
            <v>AGNEBULAXL</v>
          </cell>
          <cell r="D201" t="str">
            <v>Alpha Gamer Nebula master XL Grey/Black</v>
          </cell>
        </row>
        <row r="202">
          <cell r="C202" t="str">
            <v>AGGAIA-DK-GREY</v>
          </cell>
          <cell r="D202" t="str">
            <v>Alpha Gamer Gaia - Dark Grey</v>
          </cell>
        </row>
        <row r="203">
          <cell r="C203" t="str">
            <v>AGGAIA-DK-GREY-BLUE</v>
          </cell>
          <cell r="D203" t="str">
            <v>Alpha Gamer Gaia - Dark Grey / Blue</v>
          </cell>
        </row>
        <row r="204">
          <cell r="C204" t="str">
            <v>AGGAIA-DK-GREY-OR</v>
          </cell>
          <cell r="D204" t="str">
            <v>Alpha Gamer Gaia - Dark Grey / Orange</v>
          </cell>
        </row>
        <row r="205">
          <cell r="C205" t="str">
            <v>AGGAIA-LT-GREY</v>
          </cell>
          <cell r="D205" t="str">
            <v>Alpha Gamer Gaia - Light Grey</v>
          </cell>
        </row>
        <row r="206">
          <cell r="C206" t="str">
            <v>AGNIMBUSBK</v>
          </cell>
          <cell r="D206" t="str">
            <v>Alpha Gamer Nimbus Black</v>
          </cell>
        </row>
        <row r="207">
          <cell r="C207" t="str">
            <v>AGNIMBUSBKRED</v>
          </cell>
          <cell r="D207" t="str">
            <v>Alpha Gamer Nimbus Black / Red</v>
          </cell>
        </row>
        <row r="208">
          <cell r="C208" t="str">
            <v>AGNIMBUSOE-BWN</v>
          </cell>
          <cell r="D208" t="str">
            <v>Alpha Gamer Nimbus - Office Edition Brown</v>
          </cell>
        </row>
        <row r="209">
          <cell r="C209" t="str">
            <v>AGNIMBUSPNKFB</v>
          </cell>
          <cell r="D209" t="str">
            <v>Alpha Gamer Nimbus - Pink Fabric Edition</v>
          </cell>
        </row>
        <row r="210">
          <cell r="C210" t="str">
            <v>AGNIMBUSWHT</v>
          </cell>
          <cell r="D210" t="str">
            <v>Alpha Gamer Nimbus White</v>
          </cell>
        </row>
        <row r="211">
          <cell r="C211" t="str">
            <v>AGHERA-BK-RED</v>
          </cell>
          <cell r="D211" t="str">
            <v>Alpha Gamer Hera - Black / Red</v>
          </cell>
        </row>
        <row r="212">
          <cell r="C212" t="str">
            <v>AGHERA-BK-GREY</v>
          </cell>
          <cell r="D212" t="str">
            <v>Alpha Gamer Hera - Black / Grey</v>
          </cell>
        </row>
        <row r="213">
          <cell r="C213" t="str">
            <v>AGSURYA-BK-RED</v>
          </cell>
          <cell r="D213" t="str">
            <v>Alpha Gamer Surya - Black / Red</v>
          </cell>
        </row>
        <row r="214">
          <cell r="C214" t="str">
            <v>AGSURYA-BK</v>
          </cell>
          <cell r="D214" t="str">
            <v>Alpha Gamer Surya - Black</v>
          </cell>
        </row>
        <row r="215">
          <cell r="C215" t="str">
            <v>AGSURYA-BK-WHT</v>
          </cell>
          <cell r="D215" t="str">
            <v>Alpha Gamer Surya - Black / White</v>
          </cell>
        </row>
        <row r="216">
          <cell r="C216" t="str">
            <v>OFFYELYA</v>
          </cell>
          <cell r="D216" t="str">
            <v>Offy Elya - Cadeira de escritório em malha</v>
          </cell>
        </row>
        <row r="217">
          <cell r="C217" t="str">
            <v>OFFYLYMA</v>
          </cell>
          <cell r="D217" t="str">
            <v>Offy Lyma - Cadeira de escritório em malha</v>
          </cell>
        </row>
        <row r="218">
          <cell r="C218" t="str">
            <v>OFFYLYMAGREY</v>
          </cell>
          <cell r="D218" t="str">
            <v>Offy Lyma Grey</v>
          </cell>
        </row>
        <row r="219">
          <cell r="C219" t="str">
            <v>OFFYCYLA</v>
          </cell>
          <cell r="D219" t="str">
            <v>Offy Cyla - Cadeira de escritório em malha</v>
          </cell>
        </row>
        <row r="220">
          <cell r="C220" t="str">
            <v>OFFYLYCABK</v>
          </cell>
          <cell r="D220" t="str">
            <v>Offy Lyca Black - Cadeira de escritório em malha</v>
          </cell>
        </row>
        <row r="221">
          <cell r="C221" t="str">
            <v>OFFYLYCAWT</v>
          </cell>
          <cell r="D221" t="str">
            <v>Offy Lyca White - Cadeira de escritório em malha</v>
          </cell>
        </row>
        <row r="222">
          <cell r="C222" t="str">
            <v>AGLUNAV2</v>
          </cell>
          <cell r="D222" t="str">
            <v>Alpha Gamer Luna V2 - Cadeira em malha</v>
          </cell>
        </row>
        <row r="223">
          <cell r="C223" t="str">
            <v>AGLUNAGRY</v>
          </cell>
          <cell r="D223" t="str">
            <v>Alpha Gamer Luna Grey</v>
          </cell>
        </row>
        <row r="224">
          <cell r="C224" t="str">
            <v>AGIRIS</v>
          </cell>
          <cell r="D224" t="str">
            <v>Alpha Gamer Iris - Cadeira em malha</v>
          </cell>
        </row>
        <row r="225">
          <cell r="C225" t="str">
            <v>AGAURORA</v>
          </cell>
          <cell r="D225" t="str">
            <v>Alpha Gamer Aurora - Cadeira em malha</v>
          </cell>
        </row>
        <row r="226">
          <cell r="C226" t="str">
            <v>AGASTRID</v>
          </cell>
          <cell r="D226" t="str">
            <v>Alpha Gamer Astrid - Cadeira em malha</v>
          </cell>
        </row>
        <row r="227">
          <cell r="C227" t="str">
            <v>AGSTELLA-BK</v>
          </cell>
          <cell r="D227" t="str">
            <v>Alpha Gamer Stella Black - Cadeira em malha</v>
          </cell>
        </row>
        <row r="228">
          <cell r="C228" t="str">
            <v>AGSTELLA-GRY</v>
          </cell>
          <cell r="D228" t="str">
            <v>Alpha Gamer Stella Grey - Cadeira em malha</v>
          </cell>
        </row>
        <row r="229">
          <cell r="C229" t="str">
            <v>AGSTELLA-WT-GRY</v>
          </cell>
          <cell r="D229" t="str">
            <v>Alpha Gamer Stella White / Grey - Cadeira em malha</v>
          </cell>
        </row>
        <row r="230">
          <cell r="C230" t="str">
            <v>AGGALAXA-F-GRY-BK</v>
          </cell>
          <cell r="D230" t="str">
            <v>Alpha Gamer Galaxa - Fabric Grey / Black</v>
          </cell>
        </row>
        <row r="231">
          <cell r="C231" t="str">
            <v>AGGALAXA-PUL-BK</v>
          </cell>
          <cell r="D231" t="str">
            <v>Alpha Gamer Galaxa - PU Black</v>
          </cell>
        </row>
        <row r="232">
          <cell r="C232" t="str">
            <v>AGNEBULAXLV2</v>
          </cell>
          <cell r="D232" t="str">
            <v>Alpha Gamer Nebula XL V2</v>
          </cell>
        </row>
        <row r="233">
          <cell r="C233" t="str">
            <v>AGALEGRA-F-YL-V2</v>
          </cell>
          <cell r="D233" t="str">
            <v>Alpha Gamer Alegra - Fabric Yellow / Black V2</v>
          </cell>
        </row>
        <row r="234">
          <cell r="C234" t="str">
            <v>AGALEGRA-F-OR-V2</v>
          </cell>
          <cell r="D234" t="str">
            <v>Alpha Gamer Alegra - Fabric Orange / Black V2</v>
          </cell>
        </row>
        <row r="235">
          <cell r="C235" t="str">
            <v>AGALEGRA-F-GRN-V2</v>
          </cell>
          <cell r="D235" t="str">
            <v>Alpha Gamer Alegra - Fabric Green / Black V2</v>
          </cell>
        </row>
        <row r="236">
          <cell r="C236" t="str">
            <v>AGALEGRA-F-BL-V2</v>
          </cell>
          <cell r="D236" t="str">
            <v>Alpha Gamer Alegra - Fabric Blue / Black V2</v>
          </cell>
        </row>
        <row r="237">
          <cell r="C237" t="str">
            <v>AGALEGRA-F-PK-V2</v>
          </cell>
          <cell r="D237" t="str">
            <v>Alpha Gamer Alegra - Fabric Pink / Black V2</v>
          </cell>
        </row>
        <row r="238">
          <cell r="C238" t="str">
            <v>AGALEGRA-F-GRY-V2</v>
          </cell>
          <cell r="D238" t="str">
            <v>Alpha Gamer Alegra - Fabric Grey / Black V2</v>
          </cell>
        </row>
        <row r="239">
          <cell r="C239" t="str">
            <v>AGALEGRA-PUL-BK-V2</v>
          </cell>
          <cell r="D239" t="str">
            <v>Alpha Gamer Alegra - PU Leather Black V2</v>
          </cell>
        </row>
        <row r="240">
          <cell r="C240" t="str">
            <v>AGALEGRA-PUL-GRY-V2</v>
          </cell>
          <cell r="D240" t="str">
            <v>Alpha Gamer Alegra - PU Leather Grey / Black V2</v>
          </cell>
        </row>
        <row r="241">
          <cell r="C241" t="str">
            <v>AGALEGRA-PUL-WHT-V2</v>
          </cell>
          <cell r="D241" t="str">
            <v>Alpha Gamer Alegra - PU Leather White / Black V2</v>
          </cell>
        </row>
        <row r="242">
          <cell r="C242" t="str">
            <v>AGGAIA-DK-GREY-V2</v>
          </cell>
          <cell r="D242" t="str">
            <v>Alpha Gamer Gaia - Dark Grey V2</v>
          </cell>
        </row>
        <row r="243">
          <cell r="C243" t="str">
            <v>AGGAIA-LT-GREY-V2</v>
          </cell>
          <cell r="D243" t="str">
            <v>Alpha Gamer Gaia - Light Grey V2</v>
          </cell>
        </row>
        <row r="244">
          <cell r="C244" t="str">
            <v>AGGAIA-DK-GREY-OR-V2</v>
          </cell>
          <cell r="D244" t="str">
            <v>Alpha Gamer Gaia - Dark Grey / Orange V2</v>
          </cell>
        </row>
        <row r="245">
          <cell r="C245" t="str">
            <v>AGGAIA-DK-GREY-BK-V2</v>
          </cell>
          <cell r="D245" t="str">
            <v>Alpha Gamer Gaia - Dark Grey / Black V2</v>
          </cell>
        </row>
        <row r="246">
          <cell r="C246" t="str">
            <v>AGGAIA-DK-GREY-BLUE-V2</v>
          </cell>
          <cell r="D246" t="str">
            <v>Alpha Gamer Gaia - Dark Grey / Blue V2</v>
          </cell>
        </row>
        <row r="247">
          <cell r="C247" t="str">
            <v>AGPTFBGC24</v>
          </cell>
          <cell r="D247" t="str">
            <v>Alpha Gamer Portugal 24 - Cadeira Gaming</v>
          </cell>
        </row>
        <row r="248">
          <cell r="C248" t="str">
            <v>AGKIRAV3</v>
          </cell>
          <cell r="D248" t="str">
            <v>Alpha Gamer Kira V3 - Gaming Table</v>
          </cell>
        </row>
        <row r="249">
          <cell r="C249" t="str">
            <v>AGRAYAV2</v>
          </cell>
          <cell r="D249" t="str">
            <v>Alpha Gamer Raya V2 - Gaming Table</v>
          </cell>
        </row>
        <row r="250">
          <cell r="C250" t="str">
            <v>OFFYRYVAOK</v>
          </cell>
          <cell r="D250" t="str">
            <v xml:space="preserve">Offy Ryva Oak - Secretária Elevatoria Eléctrica </v>
          </cell>
        </row>
        <row r="251">
          <cell r="C251" t="str">
            <v>OFFYRYVABK</v>
          </cell>
          <cell r="D251" t="str">
            <v xml:space="preserve">Offy Ryva Black - Secretária Elevatoria Eléctrica </v>
          </cell>
        </row>
        <row r="252">
          <cell r="C252" t="str">
            <v>OFFYRYVAWTOK</v>
          </cell>
          <cell r="D252" t="str">
            <v>Offy Ryva White / Oak  - Secretária Elevatoria Eléctrica</v>
          </cell>
        </row>
        <row r="253">
          <cell r="C253" t="str">
            <v>AGALEGRAEVOMBKPU</v>
          </cell>
          <cell r="D253" t="str">
            <v>Alpha Gamer Alegra Evo - Midnight Black PU</v>
          </cell>
        </row>
        <row r="254">
          <cell r="C254" t="str">
            <v>AGALEGRAEVOFWTPU</v>
          </cell>
          <cell r="D254" t="str">
            <v>Alpha Gamer Alegra Evo - Frost White PU</v>
          </cell>
        </row>
        <row r="255">
          <cell r="C255" t="str">
            <v>AGALEGRAEVOTGRYPU</v>
          </cell>
          <cell r="D255" t="str">
            <v>Alpha Gamer Alegra Evo - Titanium Grey PU</v>
          </cell>
        </row>
        <row r="256">
          <cell r="C256" t="str">
            <v>AGALEGRAEVOSGRYF</v>
          </cell>
          <cell r="D256" t="str">
            <v>Alpha Gamer Alegra Evo - Smoke Grey Fabric</v>
          </cell>
        </row>
        <row r="257">
          <cell r="C257" t="str">
            <v>AGALEGRAEVOBLDF</v>
          </cell>
          <cell r="D257" t="str">
            <v>Alpha Gamer Alegra Evo - Blue Dusk Fabric</v>
          </cell>
        </row>
        <row r="258">
          <cell r="C258" t="str">
            <v>AGALEGRAEVOSGRNF</v>
          </cell>
          <cell r="D258" t="str">
            <v>Alpha Gamer Alegra Evo - Sage Green Fabric</v>
          </cell>
        </row>
        <row r="259">
          <cell r="C259" t="str">
            <v>AGALEGRAEVOLVHF</v>
          </cell>
          <cell r="D259" t="str">
            <v>Alpha Gamer Alegra Evo - Lavender Haze Fabric</v>
          </cell>
        </row>
        <row r="260">
          <cell r="C260" t="str">
            <v>AGALEGRAEVOSBKF</v>
          </cell>
          <cell r="D260" t="str">
            <v>Alpha Gamer Alegra Evo - Shadow Black Fabric</v>
          </cell>
        </row>
        <row r="261">
          <cell r="C261" t="str">
            <v>AGALEGRAEVOGRYSF</v>
          </cell>
          <cell r="D261" t="str">
            <v>Alpha Gamer Alegra Evo - Grey Storm Fabric</v>
          </cell>
        </row>
        <row r="262">
          <cell r="C262" t="str">
            <v>AGWAVEBK</v>
          </cell>
          <cell r="D262" t="str">
            <v>Alpha Gamer Wave Black</v>
          </cell>
        </row>
        <row r="263">
          <cell r="C263" t="str">
            <v>AGWAVEBKGRY</v>
          </cell>
          <cell r="D263" t="str">
            <v>Alpha Gamer Wave Black / Grey</v>
          </cell>
        </row>
        <row r="264">
          <cell r="C264" t="str">
            <v>AGMISTBK</v>
          </cell>
          <cell r="D264" t="str">
            <v>Alpha Gamer Mist Black</v>
          </cell>
        </row>
        <row r="265">
          <cell r="C265" t="str">
            <v>AGMISTBKGRY</v>
          </cell>
          <cell r="D265" t="str">
            <v>Alpha Gamer Mist Black / Grey</v>
          </cell>
        </row>
        <row r="266">
          <cell r="C266" t="str">
            <v>AGTIDEBK</v>
          </cell>
          <cell r="D266" t="str">
            <v>Alpha Gamer Tide Black</v>
          </cell>
        </row>
        <row r="267">
          <cell r="C267" t="str">
            <v>AGTIDEGRY</v>
          </cell>
          <cell r="D267" t="str">
            <v>Alpha Gamer Tide Grey</v>
          </cell>
        </row>
        <row r="268">
          <cell r="C268" t="str">
            <v>AGSWELLBK</v>
          </cell>
          <cell r="D268" t="str">
            <v>Alpha Gamer Swell Black</v>
          </cell>
        </row>
        <row r="269">
          <cell r="C269" t="str">
            <v>AGSWELLGRY</v>
          </cell>
          <cell r="D269" t="str">
            <v>Alpha Gamer Swell Grey</v>
          </cell>
        </row>
        <row r="270">
          <cell r="C270" t="str">
            <v>AGSWELLWTGRY</v>
          </cell>
          <cell r="D270" t="str">
            <v>Alpha Gamer Swell White / Grey</v>
          </cell>
        </row>
        <row r="271">
          <cell r="C271" t="str">
            <v>AGGAIA-DK-GREY-WT-V2</v>
          </cell>
          <cell r="D271" t="str">
            <v>Alpha Gamer Gaia - Dark Grey / White V2</v>
          </cell>
        </row>
        <row r="272">
          <cell r="C272" t="str">
            <v>AGGAIA-LT-GREY-WT-V2</v>
          </cell>
          <cell r="D272" t="str">
            <v>Alpha Gamer Gaia - Light Grey / White V2</v>
          </cell>
        </row>
        <row r="273">
          <cell r="C273" t="str">
            <v>AGYARADKGRYFB</v>
          </cell>
          <cell r="D273" t="str">
            <v>Alpha Gamer Yara Dark Grey Fabric</v>
          </cell>
        </row>
        <row r="274">
          <cell r="C274" t="str">
            <v>AGYARALTGRYFB</v>
          </cell>
          <cell r="D274" t="str">
            <v>Alpha Gamer Yara Light Grey Fabric</v>
          </cell>
        </row>
        <row r="275">
          <cell r="C275" t="str">
            <v>AGYARABKFB</v>
          </cell>
          <cell r="D275" t="str">
            <v>Alpha Gamer Yara Black Fabric</v>
          </cell>
        </row>
        <row r="276">
          <cell r="C276" t="str">
            <v>AGYARABKPU</v>
          </cell>
          <cell r="D276" t="str">
            <v>Alpha Gamer Yara Black PU</v>
          </cell>
        </row>
        <row r="277">
          <cell r="C277" t="str">
            <v>AGYARAWTPU</v>
          </cell>
          <cell r="D277" t="str">
            <v>Alpha Gamer Yara White PU</v>
          </cell>
        </row>
        <row r="278">
          <cell r="C278" t="str">
            <v>AGVECTRADKGRYFB</v>
          </cell>
          <cell r="D278" t="str">
            <v>Alpha Gamer Vectra Dark Grey Fabric</v>
          </cell>
        </row>
        <row r="279">
          <cell r="C279" t="str">
            <v>AGVECTRALTGRYFB</v>
          </cell>
          <cell r="D279" t="str">
            <v>Alpha Gamer Vectra Light Grey Fabric</v>
          </cell>
        </row>
        <row r="280">
          <cell r="C280" t="str">
            <v>AGVECTRABKPU</v>
          </cell>
          <cell r="D280" t="str">
            <v>Alpha Gamer Vectra Black PU</v>
          </cell>
        </row>
        <row r="281">
          <cell r="C281" t="str">
            <v>AGVECTRAWTPU</v>
          </cell>
          <cell r="D281" t="str">
            <v>Alpha Gamer Vectra White PU</v>
          </cell>
        </row>
        <row r="282">
          <cell r="C282" t="str">
            <v>AGALEGRAEVOLTGRYFB</v>
          </cell>
          <cell r="D282" t="str">
            <v>Alpha Gamer Alegra Evo Lyte - Grey Fabric</v>
          </cell>
        </row>
        <row r="283">
          <cell r="C283" t="str">
            <v>AGALEGRAEVOLTBKFB</v>
          </cell>
          <cell r="D283" t="str">
            <v>Alpha Gamer Alegra Evo Lyte - Black Fabric</v>
          </cell>
        </row>
        <row r="284">
          <cell r="C284" t="str">
            <v>OFFYPRISMABK</v>
          </cell>
          <cell r="D284" t="str">
            <v>Offy Prisma Ergonomic Office Chair Black</v>
          </cell>
        </row>
        <row r="285">
          <cell r="C285" t="str">
            <v>OFFYPRISMAWTPK</v>
          </cell>
          <cell r="D285" t="str">
            <v>Offy Prisma Ergonomic Office Chair White / Pink</v>
          </cell>
        </row>
        <row r="286">
          <cell r="C286" t="str">
            <v>OFFYPRISMAWTTQ</v>
          </cell>
          <cell r="D286" t="str">
            <v>Offy Prisma Ergonomic Office Chair White / Turquoise</v>
          </cell>
        </row>
        <row r="287">
          <cell r="C287" t="str">
            <v>OFFYPRISMAWTGRY</v>
          </cell>
          <cell r="D287" t="str">
            <v>Offy Prisma Ergonomic Office Chair White / Grey</v>
          </cell>
        </row>
        <row r="288">
          <cell r="C288" t="str">
            <v>OFFYPRISMAWTBG</v>
          </cell>
          <cell r="D288" t="str">
            <v>Offy Prisma Ergonomic Office Chair White / Beige</v>
          </cell>
        </row>
        <row r="289">
          <cell r="C289" t="str">
            <v>AGYARABKFB</v>
          </cell>
          <cell r="D289" t="str">
            <v>Alpha Gamer Yara Black Fabric</v>
          </cell>
        </row>
        <row r="290">
          <cell r="C290" t="str">
            <v>AGYARABKPU</v>
          </cell>
          <cell r="D290" t="str">
            <v>Alpha Gamer Yara Black PU</v>
          </cell>
        </row>
        <row r="291">
          <cell r="C291" t="str">
            <v>AGYARAWTPU</v>
          </cell>
          <cell r="D291" t="str">
            <v>Alpha Gamer Yara White PU</v>
          </cell>
        </row>
        <row r="292">
          <cell r="C292" t="str">
            <v>AGVECTRADKGRYFB</v>
          </cell>
          <cell r="D292" t="str">
            <v>Alpha Gamer Vectra Dark Grey Fabric</v>
          </cell>
        </row>
        <row r="293">
          <cell r="C293" t="str">
            <v>AGVECTRALTGRYFB</v>
          </cell>
          <cell r="D293" t="str">
            <v>Alpha Gamer Vectra Light Grey Fabric</v>
          </cell>
        </row>
        <row r="294">
          <cell r="C294" t="str">
            <v>AGVECTRABKPU</v>
          </cell>
          <cell r="D294" t="str">
            <v>Alpha Gamer Vectra Black PU</v>
          </cell>
        </row>
        <row r="295">
          <cell r="C295" t="str">
            <v>AGVECTRAWTPU</v>
          </cell>
          <cell r="D295" t="str">
            <v>Alpha Gamer Vectra White PU</v>
          </cell>
        </row>
        <row r="296">
          <cell r="C296" t="str">
            <v>AGALEGRAEVOLTGRYFB</v>
          </cell>
          <cell r="D296" t="str">
            <v>Alpha Gamer Alegra Evo Lyte - Grey Fabric</v>
          </cell>
        </row>
        <row r="297">
          <cell r="C297" t="str">
            <v>AGALEGRAEVOLTBKFB</v>
          </cell>
          <cell r="D297" t="str">
            <v>Alpha Gamer Alegra Evo Lyte - Black Fabric</v>
          </cell>
        </row>
        <row r="298">
          <cell r="C298" t="str">
            <v>OFFYPRISMABK</v>
          </cell>
          <cell r="D298" t="str">
            <v>Offy Prisma Ergonomic Office Chair Black</v>
          </cell>
        </row>
        <row r="299">
          <cell r="C299" t="str">
            <v>OFFYPRISMAWTPK</v>
          </cell>
          <cell r="D299" t="str">
            <v>Offy Prisma Ergonomic Office Chair White / Pink</v>
          </cell>
        </row>
        <row r="300">
          <cell r="C300" t="str">
            <v>OFFYPRISMAWTTQ</v>
          </cell>
          <cell r="D300" t="str">
            <v>Offy Prisma Ergonomic Office Chair White / Turquoise</v>
          </cell>
        </row>
        <row r="301">
          <cell r="C301" t="str">
            <v>OFFYPRISMAWTGRY</v>
          </cell>
          <cell r="D301" t="str">
            <v>Offy Prisma Ergonomic Office Chair White / Grey</v>
          </cell>
        </row>
        <row r="302">
          <cell r="C302" t="str">
            <v>OFFYPRISMAWTBG</v>
          </cell>
          <cell r="D302" t="str">
            <v>Offy Prisma Ergonomic Office Chair White / Beige</v>
          </cell>
        </row>
        <row r="303">
          <cell r="C303" t="str">
            <v>AGALEGRAPROSGRYF</v>
          </cell>
          <cell r="D303" t="str">
            <v>Alpha Gamer Alegra Pro - Smoke Grey Fabric</v>
          </cell>
        </row>
        <row r="304">
          <cell r="C304" t="str">
            <v>AGALEGRAPROSTBKF</v>
          </cell>
          <cell r="D304" t="str">
            <v>Alpha Gamer Alegra Pro - Stealth Black Fabric</v>
          </cell>
        </row>
        <row r="305">
          <cell r="C305" t="str">
            <v>AGALEGRALITESGRYF</v>
          </cell>
          <cell r="D305" t="str">
            <v>Alpha Gamer Alegra Lite - Smoke Grey Fabric</v>
          </cell>
        </row>
        <row r="306">
          <cell r="C306" t="str">
            <v>AGALEGRALITESTBKF</v>
          </cell>
          <cell r="D306" t="str">
            <v>Alpha Gamer Alegra Lite - Stealth Black Fabric</v>
          </cell>
        </row>
        <row r="307">
          <cell r="C307" t="str">
            <v>OFFYPRYABK</v>
          </cell>
          <cell r="D307" t="str">
            <v>Offy Prya Ergonomic Office Chair Black</v>
          </cell>
        </row>
        <row r="308">
          <cell r="C308" t="str">
            <v>OFFYSENABK</v>
          </cell>
          <cell r="D308" t="str">
            <v>Offy Sena Ergonomic Office Chair Black</v>
          </cell>
        </row>
        <row r="309">
          <cell r="C309" t="str">
            <v>OFFYRYTABK</v>
          </cell>
          <cell r="D309" t="str">
            <v>Offy Ryta Ergonomic Office Chair Black</v>
          </cell>
        </row>
        <row r="310">
          <cell r="C310" t="str">
            <v>OFFYONDABK</v>
          </cell>
          <cell r="D310" t="str">
            <v>Offy Onda Ergonomic Office Chair Black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4CFB9-6422-4E13-B893-0A6393AB01D6}">
  <dimension ref="A1:E234"/>
  <sheetViews>
    <sheetView topLeftCell="A40" workbookViewId="0">
      <selection activeCell="A44" sqref="A44:C44"/>
    </sheetView>
  </sheetViews>
  <sheetFormatPr defaultRowHeight="15"/>
  <cols>
    <col min="1" max="1" width="35.85546875" customWidth="1"/>
    <col min="2" max="2" width="44" bestFit="1" customWidth="1"/>
    <col min="3" max="3" width="60.7109375" bestFit="1" customWidth="1"/>
    <col min="4" max="5" width="14.140625" bestFit="1" customWidth="1"/>
  </cols>
  <sheetData>
    <row r="1" spans="1:5">
      <c r="A1" s="54"/>
      <c r="B1" s="55" t="s">
        <v>666</v>
      </c>
      <c r="C1" s="56"/>
      <c r="D1" s="56"/>
      <c r="E1" s="55" t="s">
        <v>667</v>
      </c>
    </row>
    <row r="2" spans="1:5" ht="15" customHeight="1">
      <c r="A2" s="70" t="s">
        <v>420</v>
      </c>
      <c r="B2" s="57" t="s">
        <v>421</v>
      </c>
      <c r="C2" s="58" t="s">
        <v>422</v>
      </c>
      <c r="D2" s="59" t="s">
        <v>668</v>
      </c>
      <c r="E2" s="60">
        <v>9.8000000000000007</v>
      </c>
    </row>
    <row r="3" spans="1:5" ht="15" customHeight="1">
      <c r="A3" s="70" t="s">
        <v>423</v>
      </c>
      <c r="B3" s="57" t="s">
        <v>424</v>
      </c>
      <c r="C3" s="58" t="s">
        <v>425</v>
      </c>
      <c r="D3" s="59" t="s">
        <v>669</v>
      </c>
      <c r="E3" s="60">
        <v>9.8000000000000007</v>
      </c>
    </row>
    <row r="4" spans="1:5">
      <c r="A4" s="54"/>
      <c r="B4" s="55" t="s">
        <v>219</v>
      </c>
      <c r="C4" s="56"/>
      <c r="D4" s="56"/>
      <c r="E4" s="55" t="s">
        <v>667</v>
      </c>
    </row>
    <row r="5" spans="1:5">
      <c r="A5" s="61" t="s">
        <v>670</v>
      </c>
      <c r="B5" s="62" t="s">
        <v>671</v>
      </c>
      <c r="C5" s="63" t="s">
        <v>672</v>
      </c>
      <c r="D5" s="59" t="s">
        <v>673</v>
      </c>
      <c r="E5" s="60">
        <v>34.4</v>
      </c>
    </row>
    <row r="6" spans="1:5">
      <c r="A6" s="64" t="s">
        <v>674</v>
      </c>
      <c r="B6" s="65" t="s">
        <v>675</v>
      </c>
      <c r="C6" s="63" t="s">
        <v>676</v>
      </c>
      <c r="D6" s="59" t="s">
        <v>677</v>
      </c>
      <c r="E6" s="60">
        <v>40.9</v>
      </c>
    </row>
    <row r="7" spans="1:5" ht="28.5">
      <c r="A7" s="64" t="s">
        <v>91</v>
      </c>
      <c r="B7" s="65" t="s">
        <v>623</v>
      </c>
      <c r="C7" s="63" t="s">
        <v>111</v>
      </c>
      <c r="D7" s="59" t="s">
        <v>678</v>
      </c>
      <c r="E7" s="60">
        <v>107</v>
      </c>
    </row>
    <row r="8" spans="1:5" ht="28.5">
      <c r="A8" s="64" t="s">
        <v>679</v>
      </c>
      <c r="B8" s="65" t="s">
        <v>680</v>
      </c>
      <c r="C8" s="63" t="s">
        <v>681</v>
      </c>
      <c r="D8" s="59" t="s">
        <v>678</v>
      </c>
      <c r="E8" s="60">
        <v>108.5</v>
      </c>
    </row>
    <row r="9" spans="1:5" ht="28.5">
      <c r="A9" s="66" t="s">
        <v>624</v>
      </c>
      <c r="B9" s="67" t="s">
        <v>625</v>
      </c>
      <c r="C9" s="68" t="s">
        <v>626</v>
      </c>
      <c r="D9" s="69" t="s">
        <v>682</v>
      </c>
      <c r="E9" s="60">
        <v>124.6</v>
      </c>
    </row>
    <row r="10" spans="1:5" ht="28.5">
      <c r="A10" s="66" t="s">
        <v>627</v>
      </c>
      <c r="B10" s="67" t="s">
        <v>628</v>
      </c>
      <c r="C10" s="68" t="s">
        <v>629</v>
      </c>
      <c r="D10" s="69" t="s">
        <v>682</v>
      </c>
      <c r="E10" s="60">
        <v>126.6</v>
      </c>
    </row>
    <row r="11" spans="1:5">
      <c r="A11" s="64" t="s">
        <v>683</v>
      </c>
      <c r="B11" s="65" t="s">
        <v>684</v>
      </c>
      <c r="C11" s="63" t="s">
        <v>685</v>
      </c>
      <c r="D11" s="59" t="s">
        <v>686</v>
      </c>
      <c r="E11" s="60">
        <v>71.5</v>
      </c>
    </row>
    <row r="12" spans="1:5">
      <c r="A12" s="64" t="s">
        <v>89</v>
      </c>
      <c r="B12" s="65" t="s">
        <v>687</v>
      </c>
      <c r="C12" s="63" t="s">
        <v>688</v>
      </c>
      <c r="D12" s="59" t="s">
        <v>686</v>
      </c>
      <c r="E12" s="60">
        <v>73</v>
      </c>
    </row>
    <row r="13" spans="1:5">
      <c r="A13" s="64" t="s">
        <v>85</v>
      </c>
      <c r="B13" s="65" t="s">
        <v>622</v>
      </c>
      <c r="C13" s="63" t="s">
        <v>86</v>
      </c>
      <c r="D13" s="59" t="s">
        <v>677</v>
      </c>
      <c r="E13" s="60">
        <v>38</v>
      </c>
    </row>
    <row r="14" spans="1:5">
      <c r="A14" s="64" t="s">
        <v>87</v>
      </c>
      <c r="B14" s="65" t="s">
        <v>621</v>
      </c>
      <c r="C14" s="63" t="s">
        <v>88</v>
      </c>
      <c r="D14" s="59" t="s">
        <v>677</v>
      </c>
      <c r="E14" s="60">
        <v>27</v>
      </c>
    </row>
    <row r="15" spans="1:5">
      <c r="A15" s="71"/>
      <c r="B15" s="72"/>
      <c r="C15" s="55" t="s">
        <v>689</v>
      </c>
      <c r="D15" s="56" t="s">
        <v>55</v>
      </c>
      <c r="E15" s="55" t="s">
        <v>667</v>
      </c>
    </row>
    <row r="16" spans="1:5">
      <c r="A16" s="64" t="s">
        <v>690</v>
      </c>
      <c r="B16" s="65" t="s">
        <v>691</v>
      </c>
      <c r="C16" s="63" t="s">
        <v>692</v>
      </c>
      <c r="D16" s="59"/>
      <c r="E16" s="60">
        <v>3.63</v>
      </c>
    </row>
    <row r="17" spans="1:5">
      <c r="A17" s="64" t="s">
        <v>693</v>
      </c>
      <c r="B17" s="65" t="s">
        <v>694</v>
      </c>
      <c r="C17" s="63" t="s">
        <v>695</v>
      </c>
      <c r="D17" s="59"/>
      <c r="E17" s="60">
        <v>3.63</v>
      </c>
    </row>
    <row r="18" spans="1:5">
      <c r="A18" s="64" t="s">
        <v>696</v>
      </c>
      <c r="B18" s="65" t="s">
        <v>697</v>
      </c>
      <c r="C18" s="63" t="s">
        <v>698</v>
      </c>
      <c r="D18" s="59"/>
      <c r="E18" s="60">
        <v>34.01</v>
      </c>
    </row>
    <row r="19" spans="1:5">
      <c r="A19" s="73" t="s">
        <v>646</v>
      </c>
      <c r="B19" s="74" t="s">
        <v>647</v>
      </c>
      <c r="C19" s="75" t="s">
        <v>648</v>
      </c>
      <c r="D19" s="76"/>
      <c r="E19" s="77">
        <v>57.5</v>
      </c>
    </row>
    <row r="20" spans="1:5">
      <c r="A20" s="78" t="s">
        <v>366</v>
      </c>
      <c r="B20" s="79">
        <v>5600413208069</v>
      </c>
      <c r="C20" s="80" t="s">
        <v>367</v>
      </c>
      <c r="D20" s="76"/>
      <c r="E20" s="77">
        <v>12.28</v>
      </c>
    </row>
    <row r="21" spans="1:5">
      <c r="A21" s="78" t="s">
        <v>368</v>
      </c>
      <c r="B21" s="79">
        <v>5600413208076</v>
      </c>
      <c r="C21" s="69" t="s">
        <v>369</v>
      </c>
      <c r="D21" s="59"/>
      <c r="E21" s="60">
        <v>12.28</v>
      </c>
    </row>
    <row r="22" spans="1:5">
      <c r="A22" s="81"/>
      <c r="B22" s="54"/>
      <c r="C22" s="55" t="s">
        <v>13</v>
      </c>
      <c r="D22" s="56" t="s">
        <v>55</v>
      </c>
      <c r="E22" s="55" t="s">
        <v>667</v>
      </c>
    </row>
    <row r="23" spans="1:5">
      <c r="A23" s="64" t="s">
        <v>259</v>
      </c>
      <c r="B23" s="65">
        <v>5600413207963</v>
      </c>
      <c r="C23" s="63" t="s">
        <v>699</v>
      </c>
      <c r="D23" s="82"/>
      <c r="E23" s="60">
        <v>143</v>
      </c>
    </row>
    <row r="24" spans="1:5">
      <c r="A24" s="64" t="s">
        <v>257</v>
      </c>
      <c r="B24" s="65">
        <v>5600413207970</v>
      </c>
      <c r="C24" s="63" t="s">
        <v>700</v>
      </c>
      <c r="D24" s="82"/>
      <c r="E24" s="60">
        <v>150</v>
      </c>
    </row>
    <row r="25" spans="1:5">
      <c r="A25" s="64" t="s">
        <v>255</v>
      </c>
      <c r="B25" s="65">
        <v>5600413207987</v>
      </c>
      <c r="C25" s="63" t="s">
        <v>701</v>
      </c>
      <c r="D25" s="82"/>
      <c r="E25" s="60">
        <v>150</v>
      </c>
    </row>
    <row r="26" spans="1:5">
      <c r="A26" s="64" t="s">
        <v>263</v>
      </c>
      <c r="B26" s="65">
        <v>5600413207826</v>
      </c>
      <c r="C26" s="63" t="s">
        <v>702</v>
      </c>
      <c r="D26" s="82"/>
      <c r="E26" s="60">
        <v>162</v>
      </c>
    </row>
    <row r="27" spans="1:5">
      <c r="A27" s="64" t="s">
        <v>261</v>
      </c>
      <c r="B27" s="65">
        <v>5600413207833</v>
      </c>
      <c r="C27" s="63" t="s">
        <v>703</v>
      </c>
      <c r="D27" s="82"/>
      <c r="E27" s="60">
        <v>169</v>
      </c>
    </row>
    <row r="28" spans="1:5">
      <c r="A28" s="64" t="s">
        <v>267</v>
      </c>
      <c r="B28" s="65">
        <v>5600413207802</v>
      </c>
      <c r="C28" s="63" t="s">
        <v>704</v>
      </c>
      <c r="D28" s="82"/>
      <c r="E28" s="60">
        <v>136</v>
      </c>
    </row>
    <row r="29" spans="1:5">
      <c r="A29" s="64" t="s">
        <v>265</v>
      </c>
      <c r="B29" s="65">
        <v>5600413207819</v>
      </c>
      <c r="C29" s="63" t="s">
        <v>705</v>
      </c>
      <c r="D29" s="82"/>
      <c r="E29" s="60">
        <v>136</v>
      </c>
    </row>
    <row r="30" spans="1:5">
      <c r="A30" s="64" t="s">
        <v>271</v>
      </c>
      <c r="B30" s="65">
        <v>5600413207789</v>
      </c>
      <c r="C30" s="63" t="s">
        <v>706</v>
      </c>
      <c r="D30" s="82"/>
      <c r="E30" s="60">
        <v>109</v>
      </c>
    </row>
    <row r="31" spans="1:5">
      <c r="A31" s="64" t="s">
        <v>269</v>
      </c>
      <c r="B31" s="65">
        <v>5600413207796</v>
      </c>
      <c r="C31" s="63" t="s">
        <v>707</v>
      </c>
      <c r="D31" s="82"/>
      <c r="E31" s="60">
        <v>109</v>
      </c>
    </row>
    <row r="32" spans="1:5">
      <c r="A32" s="64" t="s">
        <v>126</v>
      </c>
      <c r="B32" s="65" t="s">
        <v>140</v>
      </c>
      <c r="C32" s="63" t="s">
        <v>141</v>
      </c>
      <c r="D32" s="83">
        <v>5</v>
      </c>
      <c r="E32" s="60">
        <v>71</v>
      </c>
    </row>
    <row r="33" spans="1:5">
      <c r="A33" s="64" t="s">
        <v>125</v>
      </c>
      <c r="B33" s="65" t="s">
        <v>197</v>
      </c>
      <c r="C33" s="63" t="s">
        <v>198</v>
      </c>
      <c r="D33" s="83"/>
      <c r="E33" s="60">
        <v>80.5</v>
      </c>
    </row>
    <row r="34" spans="1:5">
      <c r="A34" s="64" t="s">
        <v>39</v>
      </c>
      <c r="B34" s="65" t="s">
        <v>68</v>
      </c>
      <c r="C34" s="63" t="s">
        <v>51</v>
      </c>
      <c r="D34" s="83"/>
      <c r="E34" s="60">
        <v>88</v>
      </c>
    </row>
    <row r="35" spans="1:5">
      <c r="A35" s="64" t="s">
        <v>45</v>
      </c>
      <c r="B35" s="65" t="s">
        <v>79</v>
      </c>
      <c r="C35" s="63" t="s">
        <v>80</v>
      </c>
      <c r="D35" s="83"/>
      <c r="E35" s="60">
        <v>98</v>
      </c>
    </row>
    <row r="36" spans="1:5">
      <c r="A36" s="64" t="s">
        <v>41</v>
      </c>
      <c r="B36" s="65" t="s">
        <v>69</v>
      </c>
      <c r="C36" s="63" t="s">
        <v>70</v>
      </c>
      <c r="D36" s="83"/>
      <c r="E36" s="60">
        <v>145</v>
      </c>
    </row>
    <row r="37" spans="1:5">
      <c r="A37" s="64" t="s">
        <v>42</v>
      </c>
      <c r="B37" s="65" t="s">
        <v>81</v>
      </c>
      <c r="C37" s="63" t="s">
        <v>82</v>
      </c>
      <c r="D37" s="83"/>
      <c r="E37" s="60">
        <v>60.5</v>
      </c>
    </row>
    <row r="38" spans="1:5">
      <c r="A38" s="64" t="s">
        <v>43</v>
      </c>
      <c r="B38" s="65" t="s">
        <v>83</v>
      </c>
      <c r="C38" s="63" t="s">
        <v>84</v>
      </c>
      <c r="D38" s="83"/>
      <c r="E38" s="60">
        <v>65.5</v>
      </c>
    </row>
    <row r="39" spans="1:5">
      <c r="A39" s="64" t="s">
        <v>44</v>
      </c>
      <c r="B39" s="65" t="s">
        <v>73</v>
      </c>
      <c r="C39" s="63" t="s">
        <v>74</v>
      </c>
      <c r="D39" s="83"/>
      <c r="E39" s="60">
        <v>65.5</v>
      </c>
    </row>
    <row r="40" spans="1:5" ht="15.75" thickBot="1">
      <c r="A40" s="71"/>
      <c r="B40" s="72"/>
      <c r="C40" s="56" t="s">
        <v>13</v>
      </c>
      <c r="D40" s="56" t="s">
        <v>55</v>
      </c>
      <c r="E40" s="56" t="s">
        <v>667</v>
      </c>
    </row>
    <row r="41" spans="1:5">
      <c r="A41" s="84"/>
      <c r="B41" s="85"/>
      <c r="C41" s="86" t="s">
        <v>708</v>
      </c>
      <c r="D41" s="87"/>
      <c r="E41" s="88"/>
    </row>
    <row r="42" spans="1:5">
      <c r="A42" s="89" t="s">
        <v>709</v>
      </c>
      <c r="B42" s="90">
        <v>5600413208342</v>
      </c>
      <c r="C42" s="68" t="s">
        <v>710</v>
      </c>
      <c r="D42" s="63">
        <v>85.42</v>
      </c>
      <c r="E42" s="91">
        <v>92.42</v>
      </c>
    </row>
    <row r="43" spans="1:5">
      <c r="A43" s="89" t="s">
        <v>711</v>
      </c>
      <c r="B43" s="90">
        <v>5600413208359</v>
      </c>
      <c r="C43" s="68" t="s">
        <v>712</v>
      </c>
      <c r="D43" s="63">
        <v>85.42</v>
      </c>
      <c r="E43" s="91">
        <v>92.42</v>
      </c>
    </row>
    <row r="44" spans="1:5">
      <c r="A44" s="89" t="s">
        <v>713</v>
      </c>
      <c r="B44" s="90">
        <v>5600413208366</v>
      </c>
      <c r="C44" s="68" t="s">
        <v>714</v>
      </c>
      <c r="D44" s="63">
        <v>85.42</v>
      </c>
      <c r="E44" s="91">
        <v>92.42</v>
      </c>
    </row>
    <row r="45" spans="1:5">
      <c r="A45" s="89" t="s">
        <v>715</v>
      </c>
      <c r="B45" s="90">
        <v>5600413208373</v>
      </c>
      <c r="C45" s="68" t="s">
        <v>716</v>
      </c>
      <c r="D45" s="63">
        <v>85.42</v>
      </c>
      <c r="E45" s="91">
        <v>92.42</v>
      </c>
    </row>
    <row r="46" spans="1:5" ht="15.75" thickBot="1">
      <c r="A46" s="89" t="s">
        <v>665</v>
      </c>
      <c r="B46" s="90">
        <v>5600413208380</v>
      </c>
      <c r="C46" s="68" t="s">
        <v>717</v>
      </c>
      <c r="D46" s="63">
        <v>85.42</v>
      </c>
      <c r="E46" s="91">
        <v>92.42</v>
      </c>
    </row>
    <row r="47" spans="1:5">
      <c r="A47" s="84"/>
      <c r="B47" s="85"/>
      <c r="C47" s="86" t="s">
        <v>718</v>
      </c>
      <c r="D47" s="87"/>
      <c r="E47" s="88"/>
    </row>
    <row r="48" spans="1:5">
      <c r="A48" s="92" t="s">
        <v>719</v>
      </c>
      <c r="B48" s="93">
        <v>5600413208403</v>
      </c>
      <c r="C48" s="94" t="s">
        <v>720</v>
      </c>
      <c r="D48" s="63">
        <v>85.42</v>
      </c>
      <c r="E48" s="91">
        <v>92.42</v>
      </c>
    </row>
    <row r="49" spans="1:5">
      <c r="A49" s="92" t="s">
        <v>721</v>
      </c>
      <c r="B49" s="93">
        <v>5600413208410</v>
      </c>
      <c r="C49" s="94" t="s">
        <v>722</v>
      </c>
      <c r="D49" s="63">
        <v>85.42</v>
      </c>
      <c r="E49" s="91">
        <v>92.42</v>
      </c>
    </row>
    <row r="50" spans="1:5">
      <c r="A50" s="92" t="s">
        <v>723</v>
      </c>
      <c r="B50" s="93">
        <v>5600413208427</v>
      </c>
      <c r="C50" s="94" t="s">
        <v>724</v>
      </c>
      <c r="D50" s="63">
        <v>85.42</v>
      </c>
      <c r="E50" s="91">
        <v>92.42</v>
      </c>
    </row>
    <row r="51" spans="1:5" ht="15.75" thickBot="1">
      <c r="A51" s="92" t="s">
        <v>725</v>
      </c>
      <c r="B51" s="93">
        <v>5600413208434</v>
      </c>
      <c r="C51" s="94" t="s">
        <v>726</v>
      </c>
      <c r="D51" s="63">
        <v>85.42</v>
      </c>
      <c r="E51" s="91">
        <v>92.42</v>
      </c>
    </row>
    <row r="52" spans="1:5">
      <c r="A52" s="84"/>
      <c r="B52" s="85"/>
      <c r="C52" s="86" t="s">
        <v>727</v>
      </c>
      <c r="D52" s="87"/>
      <c r="E52" s="88"/>
    </row>
    <row r="53" spans="1:5">
      <c r="A53" s="89" t="s">
        <v>656</v>
      </c>
      <c r="B53" s="90">
        <v>5600413207635</v>
      </c>
      <c r="C53" s="68" t="s">
        <v>662</v>
      </c>
      <c r="D53" s="63"/>
      <c r="E53" s="60">
        <v>133.5</v>
      </c>
    </row>
    <row r="54" spans="1:5">
      <c r="A54" s="89" t="s">
        <v>728</v>
      </c>
      <c r="B54" s="90">
        <v>5600413207642</v>
      </c>
      <c r="C54" s="68" t="s">
        <v>729</v>
      </c>
      <c r="D54" s="63"/>
      <c r="E54" s="60">
        <v>133.5</v>
      </c>
    </row>
    <row r="55" spans="1:5">
      <c r="A55" s="89" t="s">
        <v>657</v>
      </c>
      <c r="B55" s="90">
        <v>5600413207659</v>
      </c>
      <c r="C55" s="68" t="s">
        <v>663</v>
      </c>
      <c r="D55" s="63"/>
      <c r="E55" s="60">
        <v>133.5</v>
      </c>
    </row>
    <row r="56" spans="1:5">
      <c r="A56" s="89" t="s">
        <v>658</v>
      </c>
      <c r="B56" s="90">
        <v>5600413207666</v>
      </c>
      <c r="C56" s="68" t="s">
        <v>664</v>
      </c>
      <c r="D56" s="63"/>
      <c r="E56" s="60">
        <v>133.5</v>
      </c>
    </row>
    <row r="57" spans="1:5">
      <c r="A57" s="89" t="s">
        <v>653</v>
      </c>
      <c r="B57" s="90">
        <v>5600413207673</v>
      </c>
      <c r="C57" s="68" t="s">
        <v>659</v>
      </c>
      <c r="D57" s="63"/>
      <c r="E57" s="60">
        <v>133.5</v>
      </c>
    </row>
    <row r="58" spans="1:5">
      <c r="A58" s="89" t="s">
        <v>730</v>
      </c>
      <c r="B58" s="90">
        <v>5600413207680</v>
      </c>
      <c r="C58" s="68" t="s">
        <v>731</v>
      </c>
      <c r="D58" s="63"/>
      <c r="E58" s="60">
        <v>133.5</v>
      </c>
    </row>
    <row r="59" spans="1:5">
      <c r="A59" s="89" t="s">
        <v>732</v>
      </c>
      <c r="B59" s="90">
        <v>5600413207697</v>
      </c>
      <c r="C59" s="68" t="s">
        <v>733</v>
      </c>
      <c r="D59" s="63"/>
      <c r="E59" s="60">
        <v>133.5</v>
      </c>
    </row>
    <row r="60" spans="1:5">
      <c r="A60" s="89" t="s">
        <v>654</v>
      </c>
      <c r="B60" s="90">
        <v>5600413207703</v>
      </c>
      <c r="C60" s="68" t="s">
        <v>660</v>
      </c>
      <c r="D60" s="63"/>
      <c r="E60" s="60">
        <v>133.5</v>
      </c>
    </row>
    <row r="61" spans="1:5" ht="15.75" thickBot="1">
      <c r="A61" s="95" t="s">
        <v>655</v>
      </c>
      <c r="B61" s="96">
        <v>5600413207710</v>
      </c>
      <c r="C61" s="97" t="s">
        <v>661</v>
      </c>
      <c r="D61" s="63"/>
      <c r="E61" s="60">
        <v>133.5</v>
      </c>
    </row>
    <row r="62" spans="1:5">
      <c r="A62" s="84"/>
      <c r="B62" s="85"/>
      <c r="C62" s="86" t="s">
        <v>734</v>
      </c>
      <c r="D62" s="87"/>
      <c r="E62" s="88"/>
    </row>
    <row r="63" spans="1:5">
      <c r="A63" s="89" t="s">
        <v>735</v>
      </c>
      <c r="B63" s="90">
        <v>5600413208458</v>
      </c>
      <c r="C63" s="68" t="s">
        <v>736</v>
      </c>
      <c r="D63" s="63"/>
      <c r="E63" s="60">
        <v>113</v>
      </c>
    </row>
    <row r="64" spans="1:5" ht="15.75" thickBot="1">
      <c r="A64" s="89" t="s">
        <v>737</v>
      </c>
      <c r="B64" s="90">
        <v>5600413208465</v>
      </c>
      <c r="C64" s="68" t="s">
        <v>738</v>
      </c>
      <c r="D64" s="63"/>
      <c r="E64" s="60">
        <v>115</v>
      </c>
    </row>
    <row r="65" spans="1:5">
      <c r="A65" s="84"/>
      <c r="B65" s="85"/>
      <c r="C65" s="86" t="s">
        <v>739</v>
      </c>
      <c r="D65" s="87"/>
      <c r="E65" s="88"/>
    </row>
    <row r="66" spans="1:5">
      <c r="A66" s="89" t="s">
        <v>740</v>
      </c>
      <c r="B66" s="90">
        <v>5600413208632</v>
      </c>
      <c r="C66" s="68" t="s">
        <v>741</v>
      </c>
      <c r="D66" s="63"/>
      <c r="E66" s="60">
        <v>93</v>
      </c>
    </row>
    <row r="67" spans="1:5" ht="15.75" thickBot="1">
      <c r="A67" s="98" t="s">
        <v>742</v>
      </c>
      <c r="B67" s="99">
        <v>5600413208649</v>
      </c>
      <c r="C67" s="100" t="s">
        <v>743</v>
      </c>
      <c r="D67" s="101"/>
      <c r="E67" s="60">
        <v>95</v>
      </c>
    </row>
    <row r="68" spans="1:5">
      <c r="A68" s="84"/>
      <c r="B68" s="85"/>
      <c r="C68" s="86" t="s">
        <v>744</v>
      </c>
      <c r="D68" s="87"/>
      <c r="E68" s="88"/>
    </row>
    <row r="69" spans="1:5">
      <c r="A69" s="102" t="s">
        <v>745</v>
      </c>
      <c r="B69" s="65">
        <v>5600413205716</v>
      </c>
      <c r="C69" s="63" t="s">
        <v>746</v>
      </c>
      <c r="D69" s="63">
        <v>43.12</v>
      </c>
      <c r="E69" s="91">
        <v>43.12</v>
      </c>
    </row>
    <row r="70" spans="1:5">
      <c r="A70" s="102"/>
      <c r="B70" s="65"/>
      <c r="C70" s="63" t="s">
        <v>747</v>
      </c>
      <c r="D70" s="63">
        <v>43.12</v>
      </c>
      <c r="E70" s="91">
        <v>43.12</v>
      </c>
    </row>
    <row r="71" spans="1:5">
      <c r="A71" s="102" t="s">
        <v>748</v>
      </c>
      <c r="B71" s="65">
        <v>5600413205730</v>
      </c>
      <c r="C71" s="63" t="s">
        <v>749</v>
      </c>
      <c r="D71" s="63">
        <v>43.12</v>
      </c>
      <c r="E71" s="91">
        <v>43.12</v>
      </c>
    </row>
    <row r="72" spans="1:5">
      <c r="A72" s="102" t="s">
        <v>114</v>
      </c>
      <c r="B72" s="65">
        <v>5600413205747</v>
      </c>
      <c r="C72" s="63" t="s">
        <v>115</v>
      </c>
      <c r="D72" s="63">
        <v>43.12</v>
      </c>
      <c r="E72" s="91">
        <v>43.12</v>
      </c>
    </row>
    <row r="73" spans="1:5" ht="15.75" thickBot="1">
      <c r="A73" s="103" t="s">
        <v>750</v>
      </c>
      <c r="B73" s="65">
        <v>5600413206850</v>
      </c>
      <c r="C73" s="104" t="s">
        <v>751</v>
      </c>
      <c r="D73" s="63">
        <v>43.12</v>
      </c>
      <c r="E73" s="91">
        <v>43.12</v>
      </c>
    </row>
    <row r="74" spans="1:5">
      <c r="A74" s="84"/>
      <c r="B74" s="85"/>
      <c r="C74" s="86" t="s">
        <v>752</v>
      </c>
      <c r="D74" s="87"/>
      <c r="E74" s="88"/>
    </row>
    <row r="75" spans="1:5">
      <c r="A75" s="102" t="s">
        <v>18</v>
      </c>
      <c r="B75" s="105" t="s">
        <v>46</v>
      </c>
      <c r="C75" s="63" t="s">
        <v>426</v>
      </c>
      <c r="D75" s="63">
        <v>41.3</v>
      </c>
      <c r="E75" s="91">
        <v>45.3</v>
      </c>
    </row>
    <row r="76" spans="1:5">
      <c r="A76" s="102" t="s">
        <v>20</v>
      </c>
      <c r="B76" s="105" t="s">
        <v>427</v>
      </c>
      <c r="C76" s="63" t="s">
        <v>428</v>
      </c>
      <c r="D76" s="63">
        <v>41.3</v>
      </c>
      <c r="E76" s="91">
        <v>45.3</v>
      </c>
    </row>
    <row r="77" spans="1:5" ht="15.75" thickBot="1">
      <c r="A77" s="103" t="s">
        <v>93</v>
      </c>
      <c r="B77" s="106" t="s">
        <v>429</v>
      </c>
      <c r="C77" s="104" t="s">
        <v>430</v>
      </c>
      <c r="D77" s="63">
        <v>41.3</v>
      </c>
      <c r="E77" s="91">
        <v>45.3</v>
      </c>
    </row>
    <row r="78" spans="1:5">
      <c r="A78" s="84"/>
      <c r="B78" s="85"/>
      <c r="C78" s="86" t="s">
        <v>753</v>
      </c>
      <c r="D78" s="87"/>
      <c r="E78" s="88"/>
    </row>
    <row r="79" spans="1:5">
      <c r="A79" s="102" t="s">
        <v>23</v>
      </c>
      <c r="B79" s="105" t="s">
        <v>49</v>
      </c>
      <c r="C79" s="63" t="s">
        <v>24</v>
      </c>
      <c r="D79" s="63">
        <v>53.9</v>
      </c>
      <c r="E79" s="91">
        <v>58.9</v>
      </c>
    </row>
    <row r="80" spans="1:5">
      <c r="A80" s="102" t="s">
        <v>25</v>
      </c>
      <c r="B80" s="105" t="s">
        <v>48</v>
      </c>
      <c r="C80" s="63" t="s">
        <v>36</v>
      </c>
      <c r="D80" s="63">
        <v>53.9</v>
      </c>
      <c r="E80" s="91">
        <v>58.9</v>
      </c>
    </row>
    <row r="81" spans="1:5">
      <c r="A81" s="102" t="s">
        <v>37</v>
      </c>
      <c r="B81" s="105" t="s">
        <v>47</v>
      </c>
      <c r="C81" s="63" t="s">
        <v>157</v>
      </c>
      <c r="D81" s="63">
        <v>53.9</v>
      </c>
      <c r="E81" s="91">
        <v>58.9</v>
      </c>
    </row>
    <row r="82" spans="1:5" ht="15.75" thickBot="1">
      <c r="A82" s="102" t="s">
        <v>754</v>
      </c>
      <c r="B82" s="105" t="s">
        <v>755</v>
      </c>
      <c r="C82" s="104" t="s">
        <v>756</v>
      </c>
      <c r="D82" s="63">
        <v>53.9</v>
      </c>
      <c r="E82" s="91">
        <v>58.9</v>
      </c>
    </row>
    <row r="83" spans="1:5">
      <c r="A83" s="84"/>
      <c r="B83" s="85"/>
      <c r="C83" s="86" t="s">
        <v>757</v>
      </c>
      <c r="D83" s="87"/>
      <c r="E83" s="88"/>
    </row>
    <row r="84" spans="1:5">
      <c r="A84" s="102" t="s">
        <v>758</v>
      </c>
      <c r="B84" s="105" t="s">
        <v>759</v>
      </c>
      <c r="C84" s="63" t="s">
        <v>760</v>
      </c>
      <c r="D84" s="63">
        <v>55.86</v>
      </c>
      <c r="E84" s="91">
        <v>60.86</v>
      </c>
    </row>
    <row r="85" spans="1:5">
      <c r="A85" s="102" t="s">
        <v>761</v>
      </c>
      <c r="B85" s="105" t="s">
        <v>762</v>
      </c>
      <c r="C85" s="63" t="s">
        <v>763</v>
      </c>
      <c r="D85" s="63">
        <v>55.86</v>
      </c>
      <c r="E85" s="91">
        <v>60.86</v>
      </c>
    </row>
    <row r="86" spans="1:5">
      <c r="A86" s="102" t="s">
        <v>764</v>
      </c>
      <c r="B86" s="105" t="s">
        <v>765</v>
      </c>
      <c r="C86" s="63" t="s">
        <v>766</v>
      </c>
      <c r="D86" s="63">
        <v>55.86</v>
      </c>
      <c r="E86" s="91">
        <v>60.86</v>
      </c>
    </row>
    <row r="87" spans="1:5">
      <c r="A87" s="102" t="s">
        <v>767</v>
      </c>
      <c r="B87" s="105" t="s">
        <v>768</v>
      </c>
      <c r="C87" s="63" t="s">
        <v>769</v>
      </c>
      <c r="D87" s="63">
        <v>55.86</v>
      </c>
      <c r="E87" s="91">
        <v>60.86</v>
      </c>
    </row>
    <row r="88" spans="1:5">
      <c r="A88" s="102" t="s">
        <v>770</v>
      </c>
      <c r="B88" s="105" t="s">
        <v>771</v>
      </c>
      <c r="C88" s="63" t="s">
        <v>772</v>
      </c>
      <c r="D88" s="63">
        <v>55.86</v>
      </c>
      <c r="E88" s="91">
        <v>60.86</v>
      </c>
    </row>
    <row r="89" spans="1:5" ht="15.75" thickBot="1">
      <c r="A89" s="103" t="s">
        <v>773</v>
      </c>
      <c r="B89" s="106" t="s">
        <v>774</v>
      </c>
      <c r="C89" s="104" t="s">
        <v>775</v>
      </c>
      <c r="D89" s="63">
        <v>55.86</v>
      </c>
      <c r="E89" s="91">
        <v>60.86</v>
      </c>
    </row>
    <row r="90" spans="1:5">
      <c r="A90" s="84"/>
      <c r="B90" s="85"/>
      <c r="C90" s="86" t="s">
        <v>776</v>
      </c>
      <c r="D90" s="87"/>
      <c r="E90" s="88"/>
    </row>
    <row r="91" spans="1:5">
      <c r="A91" s="102" t="s">
        <v>62</v>
      </c>
      <c r="B91" s="105" t="s">
        <v>123</v>
      </c>
      <c r="C91" s="63" t="s">
        <v>63</v>
      </c>
      <c r="D91" s="63">
        <v>60.51</v>
      </c>
      <c r="E91" s="91">
        <v>69.010000000000005</v>
      </c>
    </row>
    <row r="92" spans="1:5">
      <c r="A92" s="102" t="s">
        <v>64</v>
      </c>
      <c r="B92" s="105" t="s">
        <v>122</v>
      </c>
      <c r="C92" s="63" t="s">
        <v>65</v>
      </c>
      <c r="D92" s="63">
        <v>60.51</v>
      </c>
      <c r="E92" s="91">
        <v>69.010000000000005</v>
      </c>
    </row>
    <row r="93" spans="1:5">
      <c r="A93" s="102" t="s">
        <v>129</v>
      </c>
      <c r="B93" s="105" t="s">
        <v>130</v>
      </c>
      <c r="C93" s="63" t="s">
        <v>94</v>
      </c>
      <c r="D93" s="63">
        <v>60.51</v>
      </c>
      <c r="E93" s="91">
        <v>69.010000000000005</v>
      </c>
    </row>
    <row r="94" spans="1:5">
      <c r="A94" s="102" t="s">
        <v>467</v>
      </c>
      <c r="B94" s="105" t="s">
        <v>479</v>
      </c>
      <c r="C94" s="63" t="s">
        <v>777</v>
      </c>
      <c r="D94" s="63">
        <v>60.51</v>
      </c>
      <c r="E94" s="91">
        <v>69.010000000000005</v>
      </c>
    </row>
    <row r="95" spans="1:5">
      <c r="A95" s="102" t="s">
        <v>131</v>
      </c>
      <c r="B95" s="105" t="s">
        <v>139</v>
      </c>
      <c r="C95" s="63" t="s">
        <v>132</v>
      </c>
      <c r="D95" s="63">
        <v>60.51</v>
      </c>
      <c r="E95" s="91">
        <v>69.010000000000005</v>
      </c>
    </row>
    <row r="96" spans="1:5" ht="15.75" thickBot="1">
      <c r="A96" s="102" t="s">
        <v>134</v>
      </c>
      <c r="B96" s="105" t="s">
        <v>137</v>
      </c>
      <c r="C96" s="63" t="s">
        <v>138</v>
      </c>
      <c r="D96" s="63">
        <v>60.51</v>
      </c>
      <c r="E96" s="91">
        <v>69.010000000000005</v>
      </c>
    </row>
    <row r="97" spans="1:5">
      <c r="A97" s="84"/>
      <c r="B97" s="85"/>
      <c r="C97" s="86" t="s">
        <v>778</v>
      </c>
      <c r="D97" s="87"/>
      <c r="E97" s="88"/>
    </row>
    <row r="98" spans="1:5">
      <c r="A98" s="102" t="s">
        <v>465</v>
      </c>
      <c r="B98" s="105" t="s">
        <v>477</v>
      </c>
      <c r="C98" s="63" t="s">
        <v>779</v>
      </c>
      <c r="D98" s="63">
        <v>60.51</v>
      </c>
      <c r="E98" s="91">
        <v>66.510000000000005</v>
      </c>
    </row>
    <row r="99" spans="1:5">
      <c r="A99" s="102" t="s">
        <v>780</v>
      </c>
      <c r="B99" s="105" t="s">
        <v>781</v>
      </c>
      <c r="C99" s="63" t="s">
        <v>782</v>
      </c>
      <c r="D99" s="63">
        <v>60.51</v>
      </c>
      <c r="E99" s="91">
        <v>66.510000000000005</v>
      </c>
    </row>
    <row r="100" spans="1:5" ht="15.75" thickBot="1">
      <c r="A100" s="103" t="s">
        <v>466</v>
      </c>
      <c r="B100" s="106" t="s">
        <v>478</v>
      </c>
      <c r="C100" s="104" t="s">
        <v>783</v>
      </c>
      <c r="D100" s="63">
        <v>60.51</v>
      </c>
      <c r="E100" s="91">
        <v>66.510000000000005</v>
      </c>
    </row>
    <row r="101" spans="1:5">
      <c r="A101" s="84"/>
      <c r="B101" s="85"/>
      <c r="C101" s="86" t="s">
        <v>784</v>
      </c>
      <c r="D101" s="87"/>
      <c r="E101" s="88"/>
    </row>
    <row r="102" spans="1:5">
      <c r="A102" s="102" t="s">
        <v>785</v>
      </c>
      <c r="B102" s="105" t="s">
        <v>786</v>
      </c>
      <c r="C102" s="63" t="s">
        <v>787</v>
      </c>
      <c r="D102" s="63">
        <v>63.39</v>
      </c>
      <c r="E102" s="91">
        <v>67.39</v>
      </c>
    </row>
    <row r="103" spans="1:5">
      <c r="A103" s="102" t="s">
        <v>297</v>
      </c>
      <c r="B103" s="105" t="s">
        <v>298</v>
      </c>
      <c r="C103" s="63" t="s">
        <v>299</v>
      </c>
      <c r="D103" s="63">
        <v>63.39</v>
      </c>
      <c r="E103" s="91">
        <v>67.39</v>
      </c>
    </row>
    <row r="104" spans="1:5">
      <c r="A104" s="102" t="s">
        <v>788</v>
      </c>
      <c r="B104" s="105" t="s">
        <v>789</v>
      </c>
      <c r="C104" s="63" t="s">
        <v>790</v>
      </c>
      <c r="D104" s="63">
        <v>63.39</v>
      </c>
      <c r="E104" s="91">
        <v>67.39</v>
      </c>
    </row>
    <row r="105" spans="1:5" ht="15.75" thickBot="1">
      <c r="A105" s="102" t="s">
        <v>791</v>
      </c>
      <c r="B105" s="65">
        <v>5600413205471</v>
      </c>
      <c r="C105" s="63" t="s">
        <v>792</v>
      </c>
      <c r="D105" s="63">
        <v>63.39</v>
      </c>
      <c r="E105" s="91">
        <v>67.39</v>
      </c>
    </row>
    <row r="106" spans="1:5">
      <c r="A106" s="84"/>
      <c r="B106" s="85"/>
      <c r="C106" s="86" t="s">
        <v>793</v>
      </c>
      <c r="D106" s="87"/>
      <c r="E106" s="88"/>
    </row>
    <row r="107" spans="1:5" ht="15.75" thickBot="1">
      <c r="A107" s="103" t="s">
        <v>21</v>
      </c>
      <c r="B107" s="106" t="s">
        <v>50</v>
      </c>
      <c r="C107" s="104" t="s">
        <v>22</v>
      </c>
      <c r="D107" s="104">
        <v>66.44</v>
      </c>
      <c r="E107" s="107">
        <v>71.64</v>
      </c>
    </row>
    <row r="108" spans="1:5">
      <c r="A108" s="108"/>
      <c r="B108" s="109"/>
      <c r="C108" s="110" t="s">
        <v>794</v>
      </c>
      <c r="D108" s="87"/>
      <c r="E108" s="88"/>
    </row>
    <row r="109" spans="1:5" ht="15.75" thickBot="1">
      <c r="A109" s="111" t="s">
        <v>107</v>
      </c>
      <c r="B109" s="64" t="s">
        <v>108</v>
      </c>
      <c r="C109" s="59" t="s">
        <v>109</v>
      </c>
      <c r="D109" s="104">
        <v>81</v>
      </c>
      <c r="E109" s="107">
        <v>88</v>
      </c>
    </row>
    <row r="110" spans="1:5" ht="15.75" thickBot="1">
      <c r="A110" s="111" t="s">
        <v>133</v>
      </c>
      <c r="B110" s="64" t="s">
        <v>135</v>
      </c>
      <c r="C110" s="59" t="s">
        <v>136</v>
      </c>
      <c r="D110" s="104">
        <v>81</v>
      </c>
      <c r="E110" s="107">
        <v>88</v>
      </c>
    </row>
    <row r="111" spans="1:5">
      <c r="A111" s="84"/>
      <c r="B111" s="85"/>
      <c r="C111" s="86" t="s">
        <v>795</v>
      </c>
      <c r="D111" s="87"/>
      <c r="E111" s="88"/>
    </row>
    <row r="112" spans="1:5">
      <c r="A112" s="102" t="s">
        <v>245</v>
      </c>
      <c r="B112" s="65">
        <v>5600413204054</v>
      </c>
      <c r="C112" s="63" t="s">
        <v>300</v>
      </c>
      <c r="D112" s="63">
        <v>74.92</v>
      </c>
      <c r="E112" s="91">
        <v>84.42</v>
      </c>
    </row>
    <row r="113" spans="1:5">
      <c r="A113" s="102" t="s">
        <v>564</v>
      </c>
      <c r="B113" s="65">
        <v>5600413205006</v>
      </c>
      <c r="C113" s="63" t="s">
        <v>565</v>
      </c>
      <c r="D113" s="63">
        <v>74.92</v>
      </c>
      <c r="E113" s="91">
        <v>84.42</v>
      </c>
    </row>
    <row r="114" spans="1:5">
      <c r="A114" s="102" t="s">
        <v>291</v>
      </c>
      <c r="B114" s="65">
        <v>5600413205013</v>
      </c>
      <c r="C114" s="63" t="s">
        <v>293</v>
      </c>
      <c r="D114" s="63">
        <v>74.92</v>
      </c>
      <c r="E114" s="91">
        <v>84.42</v>
      </c>
    </row>
    <row r="115" spans="1:5">
      <c r="A115" s="102" t="s">
        <v>294</v>
      </c>
      <c r="B115" s="65">
        <v>5600413205020</v>
      </c>
      <c r="C115" s="63" t="s">
        <v>296</v>
      </c>
      <c r="D115" s="63">
        <v>74.92</v>
      </c>
      <c r="E115" s="91">
        <v>84.42</v>
      </c>
    </row>
    <row r="116" spans="1:5">
      <c r="A116" s="102" t="s">
        <v>283</v>
      </c>
      <c r="B116" s="105" t="s">
        <v>284</v>
      </c>
      <c r="C116" s="63" t="s">
        <v>285</v>
      </c>
      <c r="D116" s="63">
        <v>74.92</v>
      </c>
      <c r="E116" s="91">
        <v>84.42</v>
      </c>
    </row>
    <row r="117" spans="1:5">
      <c r="A117" s="102"/>
      <c r="B117" s="105"/>
      <c r="C117" s="63"/>
      <c r="D117" s="63">
        <v>74.92</v>
      </c>
      <c r="E117" s="91">
        <v>84.42</v>
      </c>
    </row>
    <row r="118" spans="1:5" ht="15.75" thickBot="1">
      <c r="A118" s="103"/>
      <c r="B118" s="106"/>
      <c r="C118" s="104"/>
      <c r="D118" s="63">
        <v>74.92</v>
      </c>
      <c r="E118" s="91">
        <v>84.42</v>
      </c>
    </row>
    <row r="119" spans="1:5">
      <c r="A119" s="84"/>
      <c r="B119" s="85"/>
      <c r="C119" s="86" t="s">
        <v>796</v>
      </c>
      <c r="D119" s="87"/>
      <c r="E119" s="88"/>
    </row>
    <row r="120" spans="1:5">
      <c r="A120" s="102" t="s">
        <v>797</v>
      </c>
      <c r="B120" s="105" t="s">
        <v>798</v>
      </c>
      <c r="C120" s="63" t="s">
        <v>799</v>
      </c>
      <c r="D120" s="63">
        <v>85.26</v>
      </c>
      <c r="E120" s="91">
        <v>92.26</v>
      </c>
    </row>
    <row r="121" spans="1:5">
      <c r="A121" s="102" t="s">
        <v>800</v>
      </c>
      <c r="B121" s="105" t="s">
        <v>801</v>
      </c>
      <c r="C121" s="63" t="s">
        <v>802</v>
      </c>
      <c r="D121" s="63">
        <v>85.26</v>
      </c>
      <c r="E121" s="91">
        <v>92.26</v>
      </c>
    </row>
    <row r="122" spans="1:5">
      <c r="A122" s="102" t="s">
        <v>803</v>
      </c>
      <c r="B122" s="105" t="s">
        <v>804</v>
      </c>
      <c r="C122" s="63" t="s">
        <v>805</v>
      </c>
      <c r="D122" s="63">
        <v>85.26</v>
      </c>
      <c r="E122" s="91">
        <v>92.26</v>
      </c>
    </row>
    <row r="123" spans="1:5" ht="15.75" thickBot="1">
      <c r="A123" s="103" t="s">
        <v>566</v>
      </c>
      <c r="B123" s="106" t="s">
        <v>567</v>
      </c>
      <c r="C123" s="104" t="s">
        <v>568</v>
      </c>
      <c r="D123" s="63">
        <v>85.26</v>
      </c>
      <c r="E123" s="91">
        <v>92.26</v>
      </c>
    </row>
    <row r="124" spans="1:5">
      <c r="A124" s="84"/>
      <c r="B124" s="85"/>
      <c r="C124" s="86" t="s">
        <v>806</v>
      </c>
      <c r="D124" s="87"/>
      <c r="E124" s="88"/>
    </row>
    <row r="125" spans="1:5" ht="15.75" thickBot="1">
      <c r="A125" s="103" t="s">
        <v>807</v>
      </c>
      <c r="B125" s="106" t="s">
        <v>808</v>
      </c>
      <c r="C125" s="104" t="s">
        <v>809</v>
      </c>
      <c r="D125" s="104">
        <v>103</v>
      </c>
      <c r="E125" s="107">
        <v>100.5</v>
      </c>
    </row>
    <row r="126" spans="1:5">
      <c r="A126" s="84"/>
      <c r="B126" s="85"/>
      <c r="C126" s="86" t="s">
        <v>810</v>
      </c>
      <c r="D126" s="87"/>
      <c r="E126" s="88"/>
    </row>
    <row r="127" spans="1:5">
      <c r="A127" s="102" t="s">
        <v>121</v>
      </c>
      <c r="B127" s="105" t="s">
        <v>142</v>
      </c>
      <c r="C127" s="63" t="s">
        <v>106</v>
      </c>
      <c r="D127" s="63">
        <v>119.2</v>
      </c>
      <c r="E127" s="91">
        <v>120.2</v>
      </c>
    </row>
    <row r="128" spans="1:5">
      <c r="A128" s="102" t="s">
        <v>120</v>
      </c>
      <c r="B128" s="105" t="s">
        <v>144</v>
      </c>
      <c r="C128" s="63" t="s">
        <v>105</v>
      </c>
      <c r="D128" s="63">
        <v>119.2</v>
      </c>
      <c r="E128" s="91">
        <v>120.2</v>
      </c>
    </row>
    <row r="129" spans="1:5" ht="15.75" thickBot="1">
      <c r="A129" s="103" t="s">
        <v>119</v>
      </c>
      <c r="B129" s="106" t="s">
        <v>143</v>
      </c>
      <c r="C129" s="104" t="s">
        <v>104</v>
      </c>
      <c r="D129" s="63">
        <v>119.2</v>
      </c>
      <c r="E129" s="91">
        <v>120.2</v>
      </c>
    </row>
    <row r="130" spans="1:5">
      <c r="A130" s="84"/>
      <c r="B130" s="85"/>
      <c r="C130" s="86" t="s">
        <v>811</v>
      </c>
      <c r="D130" s="87"/>
      <c r="E130" s="88"/>
    </row>
    <row r="131" spans="1:5">
      <c r="A131" s="102" t="s">
        <v>812</v>
      </c>
      <c r="B131" s="65">
        <v>5600413207000</v>
      </c>
      <c r="C131" s="63" t="s">
        <v>813</v>
      </c>
      <c r="D131" s="63">
        <v>114.2</v>
      </c>
      <c r="E131" s="91">
        <v>114.2</v>
      </c>
    </row>
    <row r="132" spans="1:5">
      <c r="A132" s="102" t="s">
        <v>814</v>
      </c>
      <c r="B132" s="65">
        <v>5600413207017</v>
      </c>
      <c r="C132" s="63" t="s">
        <v>815</v>
      </c>
      <c r="D132" s="63">
        <v>114.2</v>
      </c>
      <c r="E132" s="91">
        <v>114.2</v>
      </c>
    </row>
    <row r="133" spans="1:5">
      <c r="A133" s="102" t="s">
        <v>816</v>
      </c>
      <c r="B133" s="65">
        <v>5600413207024</v>
      </c>
      <c r="C133" s="63" t="s">
        <v>817</v>
      </c>
      <c r="D133" s="63">
        <v>114.2</v>
      </c>
      <c r="E133" s="91">
        <v>114.2</v>
      </c>
    </row>
    <row r="134" spans="1:5">
      <c r="A134" s="102" t="s">
        <v>818</v>
      </c>
      <c r="B134" s="65">
        <v>5600413207031</v>
      </c>
      <c r="C134" s="63" t="s">
        <v>819</v>
      </c>
      <c r="D134" s="63">
        <v>114.2</v>
      </c>
      <c r="E134" s="91">
        <v>114.2</v>
      </c>
    </row>
    <row r="135" spans="1:5">
      <c r="A135" s="102" t="s">
        <v>820</v>
      </c>
      <c r="B135" s="65">
        <v>5600413207048</v>
      </c>
      <c r="C135" s="63" t="s">
        <v>821</v>
      </c>
      <c r="D135" s="63">
        <v>114.2</v>
      </c>
      <c r="E135" s="91">
        <v>114.2</v>
      </c>
    </row>
    <row r="136" spans="1:5" ht="15.75" thickBot="1">
      <c r="A136" s="103" t="s">
        <v>76</v>
      </c>
      <c r="B136" s="112">
        <v>5600413207055</v>
      </c>
      <c r="C136" s="104" t="s">
        <v>77</v>
      </c>
      <c r="D136" s="63">
        <v>114.2</v>
      </c>
      <c r="E136" s="91">
        <v>114.2</v>
      </c>
    </row>
    <row r="137" spans="1:5">
      <c r="A137" s="84"/>
      <c r="B137" s="85"/>
      <c r="C137" s="86" t="s">
        <v>822</v>
      </c>
      <c r="D137" s="87"/>
      <c r="E137" s="88"/>
    </row>
    <row r="138" spans="1:5" ht="15.75" thickBot="1">
      <c r="A138" s="102" t="s">
        <v>823</v>
      </c>
      <c r="B138" s="105" t="s">
        <v>824</v>
      </c>
      <c r="C138" s="63" t="s">
        <v>825</v>
      </c>
      <c r="D138" s="104">
        <v>118</v>
      </c>
      <c r="E138" s="107">
        <v>123</v>
      </c>
    </row>
    <row r="139" spans="1:5" ht="15.75" thickBot="1">
      <c r="A139" s="102" t="s">
        <v>826</v>
      </c>
      <c r="B139" s="105" t="s">
        <v>827</v>
      </c>
      <c r="C139" s="63" t="s">
        <v>828</v>
      </c>
      <c r="D139" s="104">
        <v>118</v>
      </c>
      <c r="E139" s="107">
        <v>123</v>
      </c>
    </row>
    <row r="140" spans="1:5" ht="15.75" thickBot="1">
      <c r="A140" s="103" t="s">
        <v>829</v>
      </c>
      <c r="B140" s="106" t="s">
        <v>830</v>
      </c>
      <c r="C140" s="104" t="s">
        <v>831</v>
      </c>
      <c r="D140" s="104">
        <v>118</v>
      </c>
      <c r="E140" s="107">
        <v>123</v>
      </c>
    </row>
    <row r="141" spans="1:5">
      <c r="A141" s="84"/>
      <c r="B141" s="85"/>
      <c r="C141" s="86" t="s">
        <v>832</v>
      </c>
      <c r="D141" s="87"/>
      <c r="E141" s="88"/>
    </row>
    <row r="142" spans="1:5" ht="15.75" thickBot="1">
      <c r="A142" s="103" t="s">
        <v>833</v>
      </c>
      <c r="B142" s="106" t="s">
        <v>834</v>
      </c>
      <c r="C142" s="104" t="s">
        <v>835</v>
      </c>
      <c r="D142" s="104">
        <v>118</v>
      </c>
      <c r="E142" s="107">
        <v>123</v>
      </c>
    </row>
    <row r="143" spans="1:5">
      <c r="A143" s="84"/>
      <c r="B143" s="85"/>
      <c r="C143" s="86" t="s">
        <v>836</v>
      </c>
      <c r="D143" s="87"/>
      <c r="E143" s="88"/>
    </row>
    <row r="144" spans="1:5" ht="15.75" thickBot="1">
      <c r="A144" s="103" t="s">
        <v>837</v>
      </c>
      <c r="B144" s="106" t="s">
        <v>838</v>
      </c>
      <c r="C144" s="104" t="s">
        <v>839</v>
      </c>
      <c r="D144" s="104">
        <v>60.51</v>
      </c>
      <c r="E144" s="107">
        <v>66.510000000000005</v>
      </c>
    </row>
    <row r="145" spans="1:5">
      <c r="A145" s="84"/>
      <c r="B145" s="85"/>
      <c r="C145" s="86"/>
      <c r="D145" s="87"/>
      <c r="E145" s="88"/>
    </row>
    <row r="146" spans="1:5">
      <c r="A146" s="102" t="s">
        <v>33</v>
      </c>
      <c r="B146" s="105" t="s">
        <v>57</v>
      </c>
      <c r="C146" s="63" t="s">
        <v>34</v>
      </c>
      <c r="D146" s="63">
        <v>67.25</v>
      </c>
      <c r="E146" s="91">
        <v>67.25</v>
      </c>
    </row>
    <row r="147" spans="1:5">
      <c r="A147" s="102" t="s">
        <v>840</v>
      </c>
      <c r="B147" s="105" t="s">
        <v>841</v>
      </c>
      <c r="C147" s="63" t="s">
        <v>842</v>
      </c>
      <c r="D147" s="63">
        <v>67.25</v>
      </c>
      <c r="E147" s="91">
        <v>67.25</v>
      </c>
    </row>
    <row r="148" spans="1:5">
      <c r="A148" s="102"/>
      <c r="B148" s="105"/>
      <c r="C148" s="63" t="s">
        <v>843</v>
      </c>
      <c r="D148" s="63">
        <v>67.25</v>
      </c>
      <c r="E148" s="91">
        <v>67.25</v>
      </c>
    </row>
    <row r="149" spans="1:5">
      <c r="A149" s="102" t="s">
        <v>30</v>
      </c>
      <c r="B149" s="105" t="s">
        <v>59</v>
      </c>
      <c r="C149" s="63" t="s">
        <v>31</v>
      </c>
      <c r="D149" s="63">
        <v>67.25</v>
      </c>
      <c r="E149" s="91">
        <v>67.25</v>
      </c>
    </row>
    <row r="150" spans="1:5">
      <c r="A150" s="102" t="s">
        <v>32</v>
      </c>
      <c r="B150" s="65">
        <v>5600413205792</v>
      </c>
      <c r="C150" s="63" t="s">
        <v>56</v>
      </c>
      <c r="D150" s="63">
        <v>67.25</v>
      </c>
      <c r="E150" s="91">
        <v>67.25</v>
      </c>
    </row>
    <row r="151" spans="1:5">
      <c r="A151" s="102" t="s">
        <v>35</v>
      </c>
      <c r="B151" s="65">
        <v>5600413205990</v>
      </c>
      <c r="C151" s="63" t="s">
        <v>58</v>
      </c>
      <c r="D151" s="63">
        <v>67.25</v>
      </c>
      <c r="E151" s="91">
        <v>67.25</v>
      </c>
    </row>
    <row r="153" spans="1:5">
      <c r="A153" s="119"/>
      <c r="B153" s="119"/>
      <c r="C153" s="55" t="s">
        <v>844</v>
      </c>
      <c r="D153" s="55" t="s">
        <v>55</v>
      </c>
      <c r="E153" s="55" t="s">
        <v>667</v>
      </c>
    </row>
    <row r="154" spans="1:5" ht="28.5">
      <c r="A154" s="117" t="s">
        <v>851</v>
      </c>
      <c r="B154" s="117" t="s">
        <v>845</v>
      </c>
      <c r="C154" s="114" t="s">
        <v>846</v>
      </c>
      <c r="D154" s="115" t="s">
        <v>678</v>
      </c>
      <c r="E154" s="118">
        <v>49.5</v>
      </c>
    </row>
    <row r="155" spans="1:5" ht="28.5">
      <c r="A155" s="117" t="s">
        <v>852</v>
      </c>
      <c r="B155" s="117" t="s">
        <v>847</v>
      </c>
      <c r="C155" s="114" t="s">
        <v>848</v>
      </c>
      <c r="D155" s="115" t="s">
        <v>678</v>
      </c>
      <c r="E155" s="118">
        <v>49.5</v>
      </c>
    </row>
    <row r="156" spans="1:5" ht="28.5">
      <c r="A156" s="117" t="s">
        <v>853</v>
      </c>
      <c r="B156" s="117" t="s">
        <v>849</v>
      </c>
      <c r="C156" s="114" t="s">
        <v>850</v>
      </c>
      <c r="D156" s="115" t="s">
        <v>678</v>
      </c>
      <c r="E156" s="118">
        <v>49.5</v>
      </c>
    </row>
    <row r="157" spans="1:5">
      <c r="A157" s="117" t="s">
        <v>854</v>
      </c>
      <c r="B157" s="117" t="s">
        <v>855</v>
      </c>
      <c r="C157" s="114" t="s">
        <v>856</v>
      </c>
      <c r="D157" s="115"/>
      <c r="E157" s="118">
        <v>44.3</v>
      </c>
    </row>
    <row r="158" spans="1:5">
      <c r="A158" s="117" t="s">
        <v>857</v>
      </c>
      <c r="B158" s="117" t="s">
        <v>858</v>
      </c>
      <c r="C158" s="114" t="s">
        <v>859</v>
      </c>
      <c r="D158" s="115"/>
      <c r="E158" s="118">
        <v>40.799999999999997</v>
      </c>
    </row>
    <row r="159" spans="1:5">
      <c r="A159" s="120"/>
      <c r="B159" s="120"/>
      <c r="C159" s="121" t="s">
        <v>844</v>
      </c>
      <c r="D159" s="121"/>
      <c r="E159" s="122" t="s">
        <v>667</v>
      </c>
    </row>
    <row r="160" spans="1:5">
      <c r="A160" s="102" t="s">
        <v>38</v>
      </c>
      <c r="B160" s="105" t="s">
        <v>66</v>
      </c>
      <c r="C160" s="63" t="s">
        <v>67</v>
      </c>
      <c r="D160" s="123">
        <v>5</v>
      </c>
      <c r="E160" s="124">
        <v>34.5</v>
      </c>
    </row>
    <row r="161" spans="1:5">
      <c r="A161" s="102" t="s">
        <v>124</v>
      </c>
      <c r="B161" s="105" t="s">
        <v>195</v>
      </c>
      <c r="C161" s="63" t="s">
        <v>196</v>
      </c>
      <c r="D161" s="123"/>
      <c r="E161" s="124">
        <v>37.5</v>
      </c>
    </row>
    <row r="162" spans="1:5">
      <c r="A162" s="102" t="s">
        <v>253</v>
      </c>
      <c r="B162" s="105" t="s">
        <v>252</v>
      </c>
      <c r="C162" s="63" t="s">
        <v>251</v>
      </c>
      <c r="D162" s="123"/>
      <c r="E162" s="124">
        <v>40</v>
      </c>
    </row>
    <row r="163" spans="1:5">
      <c r="A163" s="102" t="s">
        <v>860</v>
      </c>
      <c r="B163" s="105" t="s">
        <v>861</v>
      </c>
      <c r="C163" s="63" t="s">
        <v>862</v>
      </c>
      <c r="D163" s="123"/>
      <c r="E163" s="124">
        <v>76</v>
      </c>
    </row>
    <row r="164" spans="1:5">
      <c r="A164" s="102" t="s">
        <v>40</v>
      </c>
      <c r="B164" s="105" t="s">
        <v>71</v>
      </c>
      <c r="C164" s="63" t="s">
        <v>72</v>
      </c>
      <c r="D164" s="123"/>
      <c r="E164" s="124">
        <v>58</v>
      </c>
    </row>
    <row r="165" spans="1:5">
      <c r="A165" s="102" t="s">
        <v>250</v>
      </c>
      <c r="B165" s="105" t="s">
        <v>249</v>
      </c>
      <c r="C165" s="63" t="s">
        <v>248</v>
      </c>
      <c r="D165" s="123"/>
      <c r="E165" s="124">
        <v>63</v>
      </c>
    </row>
    <row r="166" spans="1:5">
      <c r="A166" s="102" t="s">
        <v>638</v>
      </c>
      <c r="B166" s="125" t="s">
        <v>863</v>
      </c>
      <c r="C166" s="126" t="s">
        <v>864</v>
      </c>
      <c r="D166" s="127">
        <v>2</v>
      </c>
      <c r="E166" s="128">
        <v>28.5</v>
      </c>
    </row>
    <row r="167" spans="1:5">
      <c r="A167" s="102" t="s">
        <v>639</v>
      </c>
      <c r="B167" s="125" t="s">
        <v>865</v>
      </c>
      <c r="C167" s="126" t="s">
        <v>866</v>
      </c>
      <c r="D167" s="127">
        <v>2</v>
      </c>
      <c r="E167" s="128">
        <v>31.5</v>
      </c>
    </row>
    <row r="168" spans="1:5">
      <c r="A168" s="102" t="s">
        <v>640</v>
      </c>
      <c r="B168" s="125" t="s">
        <v>867</v>
      </c>
      <c r="C168" s="126" t="s">
        <v>868</v>
      </c>
      <c r="D168" s="127">
        <v>2</v>
      </c>
      <c r="E168" s="128">
        <v>31.5</v>
      </c>
    </row>
    <row r="169" spans="1:5">
      <c r="A169" s="102" t="s">
        <v>641</v>
      </c>
      <c r="B169" s="125" t="s">
        <v>869</v>
      </c>
      <c r="C169" s="126" t="s">
        <v>870</v>
      </c>
      <c r="D169" s="127">
        <v>2</v>
      </c>
      <c r="E169" s="128">
        <v>31.5</v>
      </c>
    </row>
    <row r="170" spans="1:5">
      <c r="A170" s="102" t="s">
        <v>642</v>
      </c>
      <c r="B170" s="125" t="s">
        <v>871</v>
      </c>
      <c r="C170" s="126" t="s">
        <v>872</v>
      </c>
      <c r="D170" s="127">
        <v>2</v>
      </c>
      <c r="E170" s="128">
        <v>31.5</v>
      </c>
    </row>
    <row r="171" spans="1:5">
      <c r="A171" s="113" t="s">
        <v>873</v>
      </c>
      <c r="B171" s="129">
        <v>5600413208595</v>
      </c>
      <c r="C171" s="130" t="s">
        <v>874</v>
      </c>
      <c r="D171" s="115">
        <v>2</v>
      </c>
      <c r="E171" s="116">
        <v>24.5</v>
      </c>
    </row>
    <row r="172" spans="1:5">
      <c r="A172" s="113" t="s">
        <v>875</v>
      </c>
      <c r="B172" s="129">
        <v>5600413208601</v>
      </c>
      <c r="C172" s="130" t="s">
        <v>876</v>
      </c>
      <c r="D172" s="115">
        <v>5</v>
      </c>
      <c r="E172" s="116">
        <v>61</v>
      </c>
    </row>
    <row r="173" spans="1:5" ht="28.5">
      <c r="A173" s="113" t="s">
        <v>877</v>
      </c>
      <c r="B173" s="131">
        <v>5600413208618</v>
      </c>
      <c r="C173" s="130" t="s">
        <v>878</v>
      </c>
      <c r="D173" s="115" t="s">
        <v>879</v>
      </c>
      <c r="E173" s="116">
        <v>64</v>
      </c>
    </row>
    <row r="174" spans="1:5">
      <c r="A174" s="113" t="s">
        <v>880</v>
      </c>
      <c r="B174" s="131">
        <v>5600413208625</v>
      </c>
      <c r="C174" s="130" t="s">
        <v>881</v>
      </c>
      <c r="D174" s="115"/>
      <c r="E174" s="116">
        <v>39</v>
      </c>
    </row>
    <row r="176" spans="1:5">
      <c r="A176" s="71"/>
      <c r="B176" s="72"/>
      <c r="C176" s="56" t="s">
        <v>844</v>
      </c>
      <c r="D176" s="132" t="s">
        <v>882</v>
      </c>
      <c r="E176" s="55" t="s">
        <v>667</v>
      </c>
    </row>
    <row r="177" spans="1:5">
      <c r="A177" s="133" t="s">
        <v>405</v>
      </c>
      <c r="B177" s="134" t="s">
        <v>406</v>
      </c>
      <c r="C177" s="133" t="s">
        <v>407</v>
      </c>
      <c r="D177" s="135">
        <v>59.9</v>
      </c>
      <c r="E177" s="124">
        <v>22.1</v>
      </c>
    </row>
    <row r="178" spans="1:5">
      <c r="A178" s="133" t="s">
        <v>883</v>
      </c>
      <c r="B178" s="134" t="s">
        <v>884</v>
      </c>
      <c r="C178" s="133" t="s">
        <v>885</v>
      </c>
      <c r="D178" s="135">
        <v>69.900000000000006</v>
      </c>
      <c r="E178" s="124">
        <v>22.5</v>
      </c>
    </row>
    <row r="179" spans="1:5">
      <c r="A179" s="133" t="s">
        <v>101</v>
      </c>
      <c r="B179" s="134" t="s">
        <v>102</v>
      </c>
      <c r="C179" s="133" t="s">
        <v>103</v>
      </c>
      <c r="D179" s="135">
        <v>79.900000000000006</v>
      </c>
      <c r="E179" s="124">
        <v>35.1</v>
      </c>
    </row>
    <row r="180" spans="1:5">
      <c r="A180" s="133" t="s">
        <v>98</v>
      </c>
      <c r="B180" s="134" t="s">
        <v>99</v>
      </c>
      <c r="C180" s="133" t="s">
        <v>100</v>
      </c>
      <c r="D180" s="135">
        <v>79.900000000000006</v>
      </c>
      <c r="E180" s="124">
        <v>32.5</v>
      </c>
    </row>
    <row r="181" spans="1:5">
      <c r="A181" s="133" t="s">
        <v>886</v>
      </c>
      <c r="B181" s="134" t="s">
        <v>887</v>
      </c>
      <c r="C181" s="133" t="s">
        <v>888</v>
      </c>
      <c r="D181" s="135">
        <v>99.9</v>
      </c>
      <c r="E181" s="124">
        <v>50.1</v>
      </c>
    </row>
    <row r="182" spans="1:5">
      <c r="A182" s="133" t="s">
        <v>889</v>
      </c>
      <c r="B182" s="134" t="s">
        <v>890</v>
      </c>
      <c r="C182" s="133" t="s">
        <v>891</v>
      </c>
      <c r="D182" s="135">
        <v>99.9</v>
      </c>
      <c r="E182" s="124">
        <v>47.5</v>
      </c>
    </row>
    <row r="183" spans="1:5">
      <c r="A183" s="133" t="s">
        <v>95</v>
      </c>
      <c r="B183" s="134" t="s">
        <v>96</v>
      </c>
      <c r="C183" s="133" t="s">
        <v>97</v>
      </c>
      <c r="D183" s="135">
        <v>39.9</v>
      </c>
      <c r="E183" s="124">
        <v>18.5</v>
      </c>
    </row>
    <row r="184" spans="1:5">
      <c r="A184" s="133" t="s">
        <v>892</v>
      </c>
      <c r="B184" s="134" t="s">
        <v>893</v>
      </c>
      <c r="C184" s="133" t="s">
        <v>894</v>
      </c>
      <c r="D184" s="135">
        <v>39.9</v>
      </c>
      <c r="E184" s="124">
        <v>17.600000000000001</v>
      </c>
    </row>
    <row r="185" spans="1:5">
      <c r="A185" s="133" t="s">
        <v>895</v>
      </c>
      <c r="B185" s="134" t="s">
        <v>896</v>
      </c>
      <c r="C185" s="133" t="s">
        <v>897</v>
      </c>
      <c r="D185" s="135">
        <v>74.900000000000006</v>
      </c>
      <c r="E185" s="124">
        <v>34.5</v>
      </c>
    </row>
    <row r="186" spans="1:5">
      <c r="A186" s="133" t="s">
        <v>898</v>
      </c>
      <c r="B186" s="134" t="s">
        <v>899</v>
      </c>
      <c r="C186" s="133" t="s">
        <v>900</v>
      </c>
      <c r="D186" s="135">
        <v>99</v>
      </c>
      <c r="E186" s="124">
        <v>47.7</v>
      </c>
    </row>
    <row r="187" spans="1:5">
      <c r="A187" s="133" t="s">
        <v>901</v>
      </c>
      <c r="B187" s="134" t="s">
        <v>902</v>
      </c>
      <c r="C187" s="133" t="s">
        <v>903</v>
      </c>
      <c r="D187" s="135">
        <v>99.9</v>
      </c>
      <c r="E187" s="124">
        <v>45</v>
      </c>
    </row>
    <row r="188" spans="1:5">
      <c r="A188" s="133" t="s">
        <v>904</v>
      </c>
      <c r="B188" s="134" t="s">
        <v>905</v>
      </c>
      <c r="C188" s="133" t="s">
        <v>906</v>
      </c>
      <c r="D188" s="135">
        <v>79.900000000000006</v>
      </c>
      <c r="E188" s="124">
        <v>34</v>
      </c>
    </row>
    <row r="189" spans="1:5">
      <c r="A189" s="133" t="s">
        <v>907</v>
      </c>
      <c r="B189" s="134" t="s">
        <v>908</v>
      </c>
      <c r="C189" s="133" t="s">
        <v>909</v>
      </c>
      <c r="D189" s="135">
        <v>79.900000000000006</v>
      </c>
      <c r="E189" s="124">
        <v>36</v>
      </c>
    </row>
    <row r="190" spans="1:5">
      <c r="A190" s="133" t="s">
        <v>910</v>
      </c>
      <c r="B190" s="134" t="s">
        <v>911</v>
      </c>
      <c r="C190" s="133" t="s">
        <v>912</v>
      </c>
      <c r="D190" s="135">
        <v>89.9</v>
      </c>
      <c r="E190" s="124">
        <v>43</v>
      </c>
    </row>
    <row r="191" spans="1:5">
      <c r="A191" s="133" t="s">
        <v>913</v>
      </c>
      <c r="B191" s="134" t="s">
        <v>914</v>
      </c>
      <c r="C191" s="133" t="s">
        <v>915</v>
      </c>
      <c r="D191" s="136">
        <v>89.9</v>
      </c>
      <c r="E191" s="137">
        <v>45.6</v>
      </c>
    </row>
    <row r="192" spans="1:5">
      <c r="A192" s="133" t="s">
        <v>205</v>
      </c>
      <c r="B192" s="134">
        <v>5600413208038</v>
      </c>
      <c r="C192" s="133" t="s">
        <v>211</v>
      </c>
      <c r="D192" s="135">
        <v>54.9</v>
      </c>
      <c r="E192" s="124">
        <v>22.3</v>
      </c>
    </row>
    <row r="193" spans="1:5">
      <c r="A193" s="133" t="s">
        <v>206</v>
      </c>
      <c r="B193" s="134">
        <v>5600413208052</v>
      </c>
      <c r="C193" s="133" t="s">
        <v>212</v>
      </c>
      <c r="D193" s="135">
        <v>69.900000000000006</v>
      </c>
      <c r="E193" s="124">
        <v>30.1</v>
      </c>
    </row>
    <row r="194" spans="1:5">
      <c r="A194" s="133" t="s">
        <v>207</v>
      </c>
      <c r="B194" s="134">
        <v>5600413208045</v>
      </c>
      <c r="C194" s="133" t="s">
        <v>213</v>
      </c>
      <c r="D194" s="135">
        <v>64.900000000000006</v>
      </c>
      <c r="E194" s="124">
        <v>26.9</v>
      </c>
    </row>
    <row r="195" spans="1:5">
      <c r="A195" s="138" t="s">
        <v>393</v>
      </c>
      <c r="B195" s="139">
        <v>5600413208106</v>
      </c>
      <c r="C195" s="138" t="s">
        <v>394</v>
      </c>
      <c r="D195" s="135"/>
      <c r="E195" s="124">
        <v>27.7</v>
      </c>
    </row>
    <row r="196" spans="1:5">
      <c r="A196" s="138" t="s">
        <v>395</v>
      </c>
      <c r="B196" s="139">
        <v>5600413208113</v>
      </c>
      <c r="C196" s="138" t="s">
        <v>396</v>
      </c>
      <c r="D196" s="135"/>
      <c r="E196" s="124">
        <v>27.2</v>
      </c>
    </row>
    <row r="197" spans="1:5">
      <c r="A197" s="138" t="s">
        <v>391</v>
      </c>
      <c r="B197" s="139">
        <v>5600413208120</v>
      </c>
      <c r="C197" s="138" t="s">
        <v>392</v>
      </c>
      <c r="D197" s="135"/>
      <c r="E197" s="124">
        <v>23.5</v>
      </c>
    </row>
    <row r="198" spans="1:5">
      <c r="A198" s="138" t="s">
        <v>916</v>
      </c>
      <c r="B198" s="139">
        <v>5600413208267</v>
      </c>
      <c r="C198" s="138" t="s">
        <v>917</v>
      </c>
      <c r="D198" s="135"/>
      <c r="E198" s="124">
        <v>30.05</v>
      </c>
    </row>
    <row r="199" spans="1:5">
      <c r="A199" s="138" t="s">
        <v>918</v>
      </c>
      <c r="B199" s="139">
        <v>5600413208250</v>
      </c>
      <c r="C199" s="138" t="s">
        <v>919</v>
      </c>
      <c r="D199" s="135"/>
      <c r="E199" s="124">
        <v>34.35</v>
      </c>
    </row>
    <row r="200" spans="1:5">
      <c r="A200" s="138" t="s">
        <v>920</v>
      </c>
      <c r="B200" s="139">
        <v>5600413208229</v>
      </c>
      <c r="C200" s="138" t="s">
        <v>921</v>
      </c>
      <c r="D200" s="135"/>
      <c r="E200" s="124">
        <v>51.53</v>
      </c>
    </row>
    <row r="201" spans="1:5">
      <c r="A201" s="138" t="s">
        <v>922</v>
      </c>
      <c r="B201" s="139">
        <v>5600413208243</v>
      </c>
      <c r="C201" s="138" t="s">
        <v>923</v>
      </c>
      <c r="D201" s="135"/>
      <c r="E201" s="124">
        <v>31.85</v>
      </c>
    </row>
    <row r="202" spans="1:5">
      <c r="A202" s="138" t="s">
        <v>924</v>
      </c>
      <c r="B202" s="139">
        <v>5600413208236</v>
      </c>
      <c r="C202" s="138" t="s">
        <v>925</v>
      </c>
      <c r="D202" s="135"/>
      <c r="E202" s="124">
        <v>37.15</v>
      </c>
    </row>
    <row r="203" spans="1:5">
      <c r="A203" s="138" t="s">
        <v>926</v>
      </c>
      <c r="B203" s="139">
        <v>5600413208212</v>
      </c>
      <c r="C203" s="138" t="s">
        <v>927</v>
      </c>
      <c r="D203" s="135"/>
      <c r="E203" s="124">
        <v>29.3</v>
      </c>
    </row>
    <row r="205" spans="1:5">
      <c r="A205" s="140"/>
      <c r="B205" s="141"/>
      <c r="C205" s="142" t="s">
        <v>844</v>
      </c>
      <c r="D205" s="143" t="s">
        <v>882</v>
      </c>
      <c r="E205" s="144" t="s">
        <v>667</v>
      </c>
    </row>
    <row r="206" spans="1:5">
      <c r="A206" s="138" t="s">
        <v>372</v>
      </c>
      <c r="B206" s="139">
        <v>5600413207529</v>
      </c>
      <c r="C206" s="138" t="s">
        <v>373</v>
      </c>
      <c r="D206" s="135">
        <v>5.9</v>
      </c>
      <c r="E206" s="124">
        <v>2.5</v>
      </c>
    </row>
    <row r="207" spans="1:5">
      <c r="A207" s="138" t="s">
        <v>374</v>
      </c>
      <c r="B207" s="139">
        <v>5600413207536</v>
      </c>
      <c r="C207" s="138" t="s">
        <v>375</v>
      </c>
      <c r="D207" s="135">
        <v>5.9</v>
      </c>
      <c r="E207" s="124">
        <v>2.65</v>
      </c>
    </row>
    <row r="208" spans="1:5">
      <c r="A208" s="138" t="s">
        <v>376</v>
      </c>
      <c r="B208" s="139">
        <v>5600413208083</v>
      </c>
      <c r="C208" s="138" t="s">
        <v>377</v>
      </c>
      <c r="D208" s="135">
        <v>5.9</v>
      </c>
      <c r="E208" s="124">
        <v>2.5</v>
      </c>
    </row>
    <row r="209" spans="1:5">
      <c r="A209" s="138" t="s">
        <v>378</v>
      </c>
      <c r="B209" s="139">
        <v>5600413208090</v>
      </c>
      <c r="C209" s="138" t="s">
        <v>379</v>
      </c>
      <c r="D209" s="135">
        <v>5.9</v>
      </c>
      <c r="E209" s="124">
        <v>2.65</v>
      </c>
    </row>
    <row r="210" spans="1:5">
      <c r="A210" s="138" t="s">
        <v>380</v>
      </c>
      <c r="B210" s="139">
        <v>5600413207567</v>
      </c>
      <c r="C210" s="138" t="s">
        <v>381</v>
      </c>
      <c r="D210" s="135">
        <v>27.9</v>
      </c>
      <c r="E210" s="124">
        <v>13</v>
      </c>
    </row>
    <row r="211" spans="1:5">
      <c r="A211" s="138" t="s">
        <v>382</v>
      </c>
      <c r="B211" s="139">
        <v>5600413207574</v>
      </c>
      <c r="C211" s="138" t="s">
        <v>383</v>
      </c>
      <c r="D211" s="135">
        <v>27.9</v>
      </c>
      <c r="E211" s="124">
        <v>13.5</v>
      </c>
    </row>
    <row r="212" spans="1:5">
      <c r="A212" s="138" t="s">
        <v>384</v>
      </c>
      <c r="B212" s="139">
        <v>5600413207604</v>
      </c>
      <c r="C212" s="138" t="s">
        <v>385</v>
      </c>
      <c r="D212" s="135">
        <v>22.9</v>
      </c>
      <c r="E212" s="124">
        <v>11</v>
      </c>
    </row>
    <row r="213" spans="1:5">
      <c r="A213" s="138" t="s">
        <v>386</v>
      </c>
      <c r="B213" s="139">
        <v>5600413207611</v>
      </c>
      <c r="C213" s="138" t="s">
        <v>387</v>
      </c>
      <c r="D213" s="135">
        <v>22.9</v>
      </c>
      <c r="E213" s="124">
        <v>11.5</v>
      </c>
    </row>
    <row r="214" spans="1:5">
      <c r="A214" s="133" t="s">
        <v>202</v>
      </c>
      <c r="B214" s="134">
        <v>5600413207628</v>
      </c>
      <c r="C214" s="133" t="s">
        <v>208</v>
      </c>
      <c r="D214" s="135">
        <v>4.9000000000000004</v>
      </c>
      <c r="E214" s="124">
        <v>1.9</v>
      </c>
    </row>
    <row r="215" spans="1:5">
      <c r="A215" s="133" t="s">
        <v>203</v>
      </c>
      <c r="B215" s="134">
        <v>5600413208014</v>
      </c>
      <c r="C215" s="133" t="s">
        <v>209</v>
      </c>
      <c r="D215" s="135">
        <v>54.9</v>
      </c>
      <c r="E215" s="124">
        <v>26</v>
      </c>
    </row>
    <row r="216" spans="1:5">
      <c r="A216" s="133" t="s">
        <v>204</v>
      </c>
      <c r="B216" s="134">
        <v>5600413208021</v>
      </c>
      <c r="C216" s="133" t="s">
        <v>210</v>
      </c>
      <c r="D216" s="135">
        <v>69.900000000000006</v>
      </c>
      <c r="E216" s="124">
        <v>32</v>
      </c>
    </row>
    <row r="218" spans="1:5">
      <c r="A218" s="119"/>
      <c r="B218" s="119"/>
      <c r="C218" s="119" t="s">
        <v>928</v>
      </c>
      <c r="D218" s="119"/>
      <c r="E218" s="145" t="s">
        <v>929</v>
      </c>
    </row>
    <row r="219" spans="1:5">
      <c r="A219" s="146" t="s">
        <v>584</v>
      </c>
      <c r="B219" s="146" t="s">
        <v>585</v>
      </c>
      <c r="C219" s="146" t="s">
        <v>586</v>
      </c>
      <c r="D219" s="146"/>
      <c r="E219" s="147">
        <v>9.4</v>
      </c>
    </row>
    <row r="220" spans="1:5">
      <c r="A220" s="146" t="s">
        <v>587</v>
      </c>
      <c r="B220" s="146" t="s">
        <v>588</v>
      </c>
      <c r="C220" s="146" t="s">
        <v>589</v>
      </c>
      <c r="D220" s="146"/>
      <c r="E220" s="147">
        <v>11.9</v>
      </c>
    </row>
    <row r="221" spans="1:5">
      <c r="A221" s="146" t="s">
        <v>590</v>
      </c>
      <c r="B221" s="146" t="s">
        <v>591</v>
      </c>
      <c r="C221" s="146" t="s">
        <v>592</v>
      </c>
      <c r="D221" s="146"/>
      <c r="E221" s="147">
        <v>10.4</v>
      </c>
    </row>
    <row r="222" spans="1:5">
      <c r="A222" s="146" t="s">
        <v>593</v>
      </c>
      <c r="B222" s="146" t="s">
        <v>594</v>
      </c>
      <c r="C222" s="146" t="s">
        <v>595</v>
      </c>
      <c r="D222" s="146"/>
      <c r="E222" s="147">
        <v>12.6</v>
      </c>
    </row>
    <row r="223" spans="1:5">
      <c r="A223" s="138" t="s">
        <v>370</v>
      </c>
      <c r="B223" s="139">
        <v>5600413207505</v>
      </c>
      <c r="C223" s="138" t="s">
        <v>371</v>
      </c>
      <c r="D223" s="138"/>
      <c r="E223" s="147">
        <v>8.5</v>
      </c>
    </row>
    <row r="224" spans="1:5">
      <c r="A224" s="148" t="s">
        <v>596</v>
      </c>
      <c r="B224" s="149">
        <v>5600413208182</v>
      </c>
      <c r="C224" s="150" t="s">
        <v>597</v>
      </c>
      <c r="D224" s="159"/>
      <c r="E224" s="147">
        <v>11.9</v>
      </c>
    </row>
    <row r="225" spans="1:5">
      <c r="A225" s="151" t="s">
        <v>598</v>
      </c>
      <c r="B225" s="152">
        <v>5600413208175</v>
      </c>
      <c r="C225" s="153" t="s">
        <v>599</v>
      </c>
      <c r="D225" s="160"/>
      <c r="E225" s="147">
        <v>12.8</v>
      </c>
    </row>
    <row r="226" spans="1:5">
      <c r="A226" s="119"/>
      <c r="B226" s="119"/>
      <c r="C226" s="119" t="s">
        <v>928</v>
      </c>
      <c r="D226" s="160"/>
      <c r="E226" s="145" t="s">
        <v>929</v>
      </c>
    </row>
    <row r="227" spans="1:5">
      <c r="A227" s="154" t="s">
        <v>600</v>
      </c>
      <c r="B227" s="154" t="s">
        <v>601</v>
      </c>
      <c r="C227" s="154" t="s">
        <v>602</v>
      </c>
      <c r="D227" s="160"/>
      <c r="E227" s="155">
        <v>12.4</v>
      </c>
    </row>
    <row r="228" spans="1:5">
      <c r="A228" s="154" t="s">
        <v>610</v>
      </c>
      <c r="B228" s="156">
        <v>5600413208472</v>
      </c>
      <c r="C228" s="154" t="s">
        <v>611</v>
      </c>
      <c r="D228" s="160"/>
      <c r="E228" s="155">
        <v>12.7</v>
      </c>
    </row>
    <row r="229" spans="1:5">
      <c r="A229" s="154" t="s">
        <v>603</v>
      </c>
      <c r="B229" s="154" t="s">
        <v>604</v>
      </c>
      <c r="C229" s="154" t="s">
        <v>605</v>
      </c>
      <c r="D229" s="160"/>
      <c r="E229" s="155">
        <v>12.7</v>
      </c>
    </row>
    <row r="230" spans="1:5">
      <c r="A230" s="157" t="s">
        <v>606</v>
      </c>
      <c r="B230" s="158">
        <v>5600413208281</v>
      </c>
      <c r="C230" s="157" t="s">
        <v>607</v>
      </c>
      <c r="D230" s="160"/>
      <c r="E230" s="147">
        <v>8.1999999999999993</v>
      </c>
    </row>
    <row r="231" spans="1:5">
      <c r="A231" s="157" t="s">
        <v>608</v>
      </c>
      <c r="B231" s="158">
        <v>5600413208274</v>
      </c>
      <c r="C231" s="157" t="s">
        <v>609</v>
      </c>
      <c r="D231" s="160"/>
      <c r="E231" s="147">
        <v>8.5</v>
      </c>
    </row>
    <row r="232" spans="1:5">
      <c r="A232" s="119"/>
      <c r="B232" s="119"/>
      <c r="C232" s="119" t="s">
        <v>928</v>
      </c>
      <c r="D232" s="160"/>
      <c r="E232" s="145" t="s">
        <v>929</v>
      </c>
    </row>
    <row r="233" spans="1:5">
      <c r="A233" s="157" t="s">
        <v>612</v>
      </c>
      <c r="B233" s="158">
        <v>5600413208496</v>
      </c>
      <c r="C233" s="157" t="s">
        <v>613</v>
      </c>
      <c r="D233" s="146"/>
      <c r="E233" s="147">
        <v>12.5</v>
      </c>
    </row>
    <row r="234" spans="1:5">
      <c r="A234" s="157" t="s">
        <v>614</v>
      </c>
      <c r="B234" s="158">
        <v>5600413208489</v>
      </c>
      <c r="C234" s="157" t="s">
        <v>615</v>
      </c>
      <c r="E234" s="147">
        <v>8.3000000000000007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C869-B9B9-440C-A8EF-AF838F223993}">
  <sheetPr codeName="Folha1"/>
  <dimension ref="B4:H52"/>
  <sheetViews>
    <sheetView topLeftCell="A16" zoomScaleNormal="100" workbookViewId="0">
      <selection activeCell="C61" sqref="C61"/>
    </sheetView>
  </sheetViews>
  <sheetFormatPr defaultRowHeight="15"/>
  <cols>
    <col min="2" max="2" width="31.28515625" bestFit="1" customWidth="1"/>
    <col min="3" max="3" width="66" bestFit="1" customWidth="1"/>
  </cols>
  <sheetData>
    <row r="4" spans="2:8" ht="15.75" thickBot="1"/>
    <row r="5" spans="2:8">
      <c r="G5" s="164" t="s">
        <v>26</v>
      </c>
      <c r="H5" s="165"/>
    </row>
    <row r="6" spans="2:8">
      <c r="B6" s="24" t="s">
        <v>15</v>
      </c>
      <c r="C6" s="24" t="s">
        <v>16</v>
      </c>
      <c r="D6" s="24" t="s">
        <v>17</v>
      </c>
      <c r="G6" s="166"/>
      <c r="H6" s="167"/>
    </row>
    <row r="7" spans="2:8" ht="15.75" thickBot="1">
      <c r="B7" s="25" t="s">
        <v>584</v>
      </c>
      <c r="C7" s="25" t="s">
        <v>586</v>
      </c>
      <c r="D7" s="25">
        <v>1000</v>
      </c>
      <c r="G7" s="168"/>
      <c r="H7" s="169"/>
    </row>
    <row r="8" spans="2:8">
      <c r="B8" s="25" t="s">
        <v>587</v>
      </c>
      <c r="C8" s="25" t="s">
        <v>589</v>
      </c>
      <c r="D8" s="25">
        <v>1000</v>
      </c>
    </row>
    <row r="9" spans="2:8">
      <c r="B9" s="25" t="s">
        <v>590</v>
      </c>
      <c r="C9" s="25" t="s">
        <v>592</v>
      </c>
      <c r="D9" s="25">
        <v>1000</v>
      </c>
    </row>
    <row r="10" spans="2:8">
      <c r="B10" s="9" t="s">
        <v>593</v>
      </c>
      <c r="C10" s="9" t="s">
        <v>595</v>
      </c>
      <c r="D10" s="9">
        <v>1000</v>
      </c>
    </row>
    <row r="11" spans="2:8">
      <c r="B11" s="48" t="s">
        <v>596</v>
      </c>
      <c r="C11" s="48" t="s">
        <v>597</v>
      </c>
      <c r="D11" s="48">
        <v>1000</v>
      </c>
    </row>
    <row r="12" spans="2:8">
      <c r="B12" s="48" t="s">
        <v>598</v>
      </c>
      <c r="C12" s="48" t="s">
        <v>599</v>
      </c>
      <c r="D12" s="48">
        <v>1000</v>
      </c>
    </row>
    <row r="13" spans="2:8">
      <c r="B13" s="9" t="s">
        <v>600</v>
      </c>
      <c r="C13" s="9" t="s">
        <v>602</v>
      </c>
      <c r="D13" s="9">
        <v>1500</v>
      </c>
    </row>
    <row r="14" spans="2:8">
      <c r="B14" s="9" t="s">
        <v>603</v>
      </c>
      <c r="C14" s="9" t="s">
        <v>605</v>
      </c>
      <c r="D14" s="9">
        <v>1000</v>
      </c>
    </row>
    <row r="15" spans="2:8">
      <c r="B15" s="48" t="s">
        <v>606</v>
      </c>
      <c r="C15" s="48" t="s">
        <v>607</v>
      </c>
      <c r="D15" s="48">
        <v>1000</v>
      </c>
    </row>
    <row r="16" spans="2:8">
      <c r="B16" s="48" t="s">
        <v>608</v>
      </c>
      <c r="C16" s="48" t="s">
        <v>609</v>
      </c>
      <c r="D16" s="48">
        <v>1000</v>
      </c>
    </row>
    <row r="17" spans="2:4">
      <c r="B17" s="48" t="s">
        <v>610</v>
      </c>
      <c r="C17" s="48" t="s">
        <v>611</v>
      </c>
      <c r="D17" s="48">
        <v>1000</v>
      </c>
    </row>
    <row r="18" spans="2:4">
      <c r="B18" s="48" t="s">
        <v>612</v>
      </c>
      <c r="C18" s="48" t="s">
        <v>613</v>
      </c>
      <c r="D18" s="48">
        <v>500</v>
      </c>
    </row>
    <row r="19" spans="2:4">
      <c r="B19" s="50" t="s">
        <v>614</v>
      </c>
      <c r="C19" s="50" t="s">
        <v>615</v>
      </c>
      <c r="D19" s="50">
        <v>1000</v>
      </c>
    </row>
    <row r="20" spans="2:4">
      <c r="B20" s="25" t="s">
        <v>402</v>
      </c>
      <c r="C20" s="25" t="s">
        <v>404</v>
      </c>
      <c r="D20" s="27">
        <v>120</v>
      </c>
    </row>
    <row r="23" spans="2:4">
      <c r="B23" s="24" t="s">
        <v>15</v>
      </c>
      <c r="C23" s="24" t="s">
        <v>16</v>
      </c>
      <c r="D23" s="24" t="s">
        <v>17</v>
      </c>
    </row>
    <row r="24" spans="2:4">
      <c r="B24" s="25" t="s">
        <v>87</v>
      </c>
      <c r="C24" s="25" t="s">
        <v>88</v>
      </c>
      <c r="D24" s="25">
        <v>180</v>
      </c>
    </row>
    <row r="25" spans="2:4">
      <c r="B25" s="25" t="s">
        <v>85</v>
      </c>
      <c r="C25" s="25" t="s">
        <v>86</v>
      </c>
      <c r="D25" s="25">
        <v>50</v>
      </c>
    </row>
    <row r="26" spans="2:4">
      <c r="B26" s="25" t="s">
        <v>91</v>
      </c>
      <c r="C26" s="25" t="s">
        <v>111</v>
      </c>
      <c r="D26" s="25">
        <v>150</v>
      </c>
    </row>
    <row r="27" spans="2:4">
      <c r="B27" s="25" t="s">
        <v>624</v>
      </c>
      <c r="C27" s="25" t="s">
        <v>626</v>
      </c>
      <c r="D27" s="25">
        <v>161</v>
      </c>
    </row>
    <row r="28" spans="2:4">
      <c r="B28" s="25" t="s">
        <v>627</v>
      </c>
      <c r="C28" s="25" t="s">
        <v>629</v>
      </c>
      <c r="D28" s="27">
        <v>100</v>
      </c>
    </row>
    <row r="32" spans="2:4">
      <c r="B32" s="24" t="s">
        <v>15</v>
      </c>
      <c r="C32" s="24" t="s">
        <v>16</v>
      </c>
      <c r="D32" s="24" t="s">
        <v>17</v>
      </c>
    </row>
    <row r="33" spans="2:4">
      <c r="B33" s="25" t="s">
        <v>40</v>
      </c>
      <c r="C33" s="25" t="str">
        <f>IFERROR(IF(B33&lt;&gt;"",VLOOKUP(B33,'[1]Conversão Artigos'!$C:$D,2,FALSE),""),"")</f>
        <v>Offy Lyca Black - Cadeira de escritório em malha</v>
      </c>
      <c r="D33" s="25">
        <v>16</v>
      </c>
    </row>
    <row r="34" spans="2:4">
      <c r="B34" s="35" t="s">
        <v>638</v>
      </c>
      <c r="C34" s="35" t="str">
        <f>IFERROR(IF(B34&lt;&gt;"",VLOOKUP(B34,'[1]Conversão Artigos'!$C:$D,2,FALSE),""),"")</f>
        <v>Offy Prisma Ergonomic Office Chair Black</v>
      </c>
      <c r="D34" s="35">
        <v>120</v>
      </c>
    </row>
    <row r="35" spans="2:4">
      <c r="B35" s="35" t="s">
        <v>639</v>
      </c>
      <c r="C35" s="35" t="str">
        <f>IFERROR(IF(B35&lt;&gt;"",VLOOKUP(B35,'[1]Conversão Artigos'!$C:$D,2,FALSE),""),"")</f>
        <v>Offy Prisma Ergonomic Office Chair White / Pink</v>
      </c>
      <c r="D35" s="35">
        <v>30</v>
      </c>
    </row>
    <row r="36" spans="2:4">
      <c r="B36" s="35" t="s">
        <v>640</v>
      </c>
      <c r="C36" s="35" t="str">
        <f>IFERROR(IF(B36&lt;&gt;"",VLOOKUP(B36,'[1]Conversão Artigos'!$C:$D,2,FALSE),""),"")</f>
        <v>Offy Prisma Ergonomic Office Chair White / Turquoise</v>
      </c>
      <c r="D36" s="35">
        <v>50</v>
      </c>
    </row>
    <row r="37" spans="2:4">
      <c r="B37" s="35" t="s">
        <v>641</v>
      </c>
      <c r="C37" s="35" t="str">
        <f>IFERROR(IF(B37&lt;&gt;"",VLOOKUP(B37,'[1]Conversão Artigos'!$C:$D,2,FALSE),""),"")</f>
        <v>Offy Prisma Ergonomic Office Chair White / Grey</v>
      </c>
      <c r="D37" s="35">
        <v>100</v>
      </c>
    </row>
    <row r="38" spans="2:4">
      <c r="B38" s="35" t="s">
        <v>642</v>
      </c>
      <c r="C38" s="35" t="str">
        <f>IFERROR(IF(B38&lt;&gt;"",VLOOKUP(B38,'[1]Conversão Artigos'!$C:$D,2,FALSE),""),"")</f>
        <v>Offy Prisma Ergonomic Office Chair White / Beige</v>
      </c>
      <c r="D38" s="35">
        <v>60</v>
      </c>
    </row>
    <row r="39" spans="2:4">
      <c r="B39" s="25" t="s">
        <v>38</v>
      </c>
      <c r="C39" s="25" t="str">
        <f>IFERROR(IF(B39&lt;&gt;"",VLOOKUP(B39,'[1]Conversão Artigos'!$C:$D,2,FALSE),""),"")</f>
        <v>Offy Lyma - Cadeira de escritório em malha</v>
      </c>
      <c r="D39" s="25">
        <v>50</v>
      </c>
    </row>
    <row r="40" spans="2:4">
      <c r="B40" s="25" t="s">
        <v>643</v>
      </c>
      <c r="C40" s="25" t="s">
        <v>644</v>
      </c>
      <c r="D40" s="25">
        <v>20</v>
      </c>
    </row>
    <row r="41" spans="2:4">
      <c r="B41" s="25" t="s">
        <v>263</v>
      </c>
      <c r="C41" s="25" t="s">
        <v>645</v>
      </c>
      <c r="D41" s="25">
        <v>50</v>
      </c>
    </row>
    <row r="42" spans="2:4">
      <c r="B42" s="9" t="s">
        <v>646</v>
      </c>
      <c r="C42" s="9" t="s">
        <v>648</v>
      </c>
      <c r="D42" s="9">
        <v>200</v>
      </c>
    </row>
    <row r="46" spans="2:4">
      <c r="B46" s="24" t="s">
        <v>15</v>
      </c>
      <c r="C46" s="24" t="s">
        <v>16</v>
      </c>
      <c r="D46" s="24" t="s">
        <v>17</v>
      </c>
    </row>
    <row r="47" spans="2:4">
      <c r="B47" s="35" t="s">
        <v>653</v>
      </c>
      <c r="C47" s="35" t="s">
        <v>659</v>
      </c>
      <c r="D47" s="35">
        <v>40</v>
      </c>
    </row>
    <row r="48" spans="2:4">
      <c r="B48" s="35" t="s">
        <v>654</v>
      </c>
      <c r="C48" s="35" t="s">
        <v>660</v>
      </c>
      <c r="D48" s="35">
        <v>120</v>
      </c>
    </row>
    <row r="49" spans="2:4">
      <c r="B49" s="35" t="s">
        <v>655</v>
      </c>
      <c r="C49" s="35" t="s">
        <v>661</v>
      </c>
      <c r="D49" s="35">
        <v>80</v>
      </c>
    </row>
    <row r="50" spans="2:4">
      <c r="B50" s="25" t="s">
        <v>656</v>
      </c>
      <c r="C50" s="25" t="s">
        <v>662</v>
      </c>
      <c r="D50" s="25">
        <v>25</v>
      </c>
    </row>
    <row r="51" spans="2:4">
      <c r="B51" s="25" t="s">
        <v>657</v>
      </c>
      <c r="C51" s="25" t="s">
        <v>663</v>
      </c>
      <c r="D51" s="25">
        <v>25</v>
      </c>
    </row>
    <row r="52" spans="2:4">
      <c r="B52" s="25" t="s">
        <v>658</v>
      </c>
      <c r="C52" s="25" t="s">
        <v>664</v>
      </c>
      <c r="D52" s="25">
        <v>25</v>
      </c>
    </row>
  </sheetData>
  <autoFilter ref="B3:H3" xr:uid="{0A60C869-B9B9-440C-A8EF-AF838F223993}"/>
  <mergeCells count="1">
    <mergeCell ref="G5:H7"/>
  </mergeCells>
  <hyperlinks>
    <hyperlink ref="G5:H7" location="Fornecedores_Contentores!A1" display="INICIO" xr:uid="{584664C9-DA74-4F73-B49E-E5C53BDCC03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93F1-2C45-461C-9B1D-AADCC2416C69}">
  <sheetPr codeName="Folha2"/>
  <dimension ref="A1:AC60"/>
  <sheetViews>
    <sheetView tabSelected="1" zoomScale="85" zoomScaleNormal="85" workbookViewId="0">
      <pane ySplit="1" topLeftCell="A17" activePane="bottomLeft" state="frozen"/>
      <selection activeCell="C1" sqref="C1"/>
      <selection pane="bottomLeft" activeCell="I54" sqref="I54"/>
    </sheetView>
  </sheetViews>
  <sheetFormatPr defaultRowHeight="15"/>
  <cols>
    <col min="1" max="1" width="17" customWidth="1"/>
    <col min="2" max="2" width="16.5703125" bestFit="1" customWidth="1"/>
    <col min="3" max="3" width="50.140625" bestFit="1" customWidth="1"/>
    <col min="4" max="4" width="13.42578125" bestFit="1" customWidth="1"/>
    <col min="5" max="5" width="5.5703125" bestFit="1" customWidth="1"/>
    <col min="6" max="6" width="15.85546875" customWidth="1"/>
    <col min="7" max="7" width="24.85546875" customWidth="1"/>
    <col min="8" max="8" width="32.140625" customWidth="1"/>
    <col min="9" max="10" width="11.5703125" customWidth="1"/>
    <col min="11" max="11" width="19" bestFit="1" customWidth="1"/>
    <col min="12" max="12" width="25.7109375" bestFit="1" customWidth="1"/>
    <col min="13" max="13" width="10.5703125" bestFit="1" customWidth="1"/>
    <col min="14" max="14" width="21" bestFit="1" customWidth="1"/>
    <col min="15" max="15" width="23" bestFit="1" customWidth="1"/>
    <col min="16" max="16" width="33.42578125" customWidth="1"/>
    <col min="17" max="17" width="44" bestFit="1" customWidth="1"/>
  </cols>
  <sheetData>
    <row r="1" spans="1:29" s="3" customFormat="1" ht="13.5" customHeight="1">
      <c r="A1" s="4" t="s">
        <v>128</v>
      </c>
      <c r="B1" s="4" t="s">
        <v>442</v>
      </c>
      <c r="C1" s="1" t="s">
        <v>53</v>
      </c>
      <c r="D1" s="5" t="s">
        <v>0</v>
      </c>
      <c r="E1" s="5" t="s">
        <v>1</v>
      </c>
      <c r="F1" s="1" t="s">
        <v>2</v>
      </c>
      <c r="G1" s="6" t="s">
        <v>3</v>
      </c>
      <c r="H1" s="7" t="s">
        <v>4</v>
      </c>
      <c r="I1" s="7" t="s">
        <v>936</v>
      </c>
      <c r="J1" s="7"/>
      <c r="K1" s="8" t="s">
        <v>55</v>
      </c>
      <c r="L1" s="6" t="s">
        <v>5</v>
      </c>
      <c r="M1" s="5" t="s">
        <v>6</v>
      </c>
      <c r="N1" s="5" t="s">
        <v>7</v>
      </c>
      <c r="O1" s="4" t="s">
        <v>8</v>
      </c>
      <c r="P1" s="5" t="s">
        <v>55</v>
      </c>
      <c r="Q1" s="1" t="s">
        <v>54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3.5" customHeight="1">
      <c r="A2" s="30">
        <v>3823.3</v>
      </c>
      <c r="B2" s="30" t="s">
        <v>460</v>
      </c>
      <c r="C2" s="31" t="s">
        <v>117</v>
      </c>
      <c r="D2" s="32" t="s">
        <v>222</v>
      </c>
      <c r="E2" s="30" t="s">
        <v>10</v>
      </c>
      <c r="F2" s="30" t="s">
        <v>223</v>
      </c>
      <c r="G2" s="33">
        <v>45970</v>
      </c>
      <c r="H2" s="33">
        <v>46012</v>
      </c>
      <c r="I2" s="33" t="s">
        <v>937</v>
      </c>
      <c r="J2" s="33"/>
      <c r="K2" s="34"/>
      <c r="L2" s="34">
        <v>46030</v>
      </c>
      <c r="M2" s="30" t="s">
        <v>11</v>
      </c>
      <c r="N2" s="30" t="s">
        <v>224</v>
      </c>
      <c r="O2" s="30" t="s">
        <v>225</v>
      </c>
      <c r="P2" s="30"/>
      <c r="Q2" s="30" t="s">
        <v>112</v>
      </c>
    </row>
    <row r="3" spans="1:29" ht="13.5" customHeight="1">
      <c r="A3" s="30">
        <v>3823.3</v>
      </c>
      <c r="B3" s="30" t="s">
        <v>460</v>
      </c>
      <c r="C3" s="31" t="s">
        <v>117</v>
      </c>
      <c r="D3" s="32" t="s">
        <v>233</v>
      </c>
      <c r="E3" s="30" t="s">
        <v>10</v>
      </c>
      <c r="F3" s="30" t="s">
        <v>234</v>
      </c>
      <c r="G3" s="33">
        <v>45966</v>
      </c>
      <c r="H3" s="33">
        <v>46018</v>
      </c>
      <c r="I3" s="33" t="s">
        <v>937</v>
      </c>
      <c r="J3" s="33"/>
      <c r="K3" s="34"/>
      <c r="L3" s="34">
        <v>46029</v>
      </c>
      <c r="M3" s="30" t="s">
        <v>11</v>
      </c>
      <c r="N3" s="30" t="s">
        <v>224</v>
      </c>
      <c r="O3" s="30" t="s">
        <v>235</v>
      </c>
      <c r="P3" s="30"/>
      <c r="Q3" s="30" t="s">
        <v>112</v>
      </c>
    </row>
    <row r="4" spans="1:29" ht="13.5" customHeight="1">
      <c r="A4" s="30">
        <v>3485.05</v>
      </c>
      <c r="B4" s="30" t="s">
        <v>460</v>
      </c>
      <c r="C4" s="31" t="s">
        <v>14</v>
      </c>
      <c r="D4" s="32" t="s">
        <v>226</v>
      </c>
      <c r="E4" s="30" t="s">
        <v>10</v>
      </c>
      <c r="F4" s="30" t="s">
        <v>227</v>
      </c>
      <c r="G4" s="33">
        <v>45970</v>
      </c>
      <c r="H4" s="33">
        <v>46012</v>
      </c>
      <c r="I4" s="33" t="s">
        <v>937</v>
      </c>
      <c r="J4" s="33"/>
      <c r="K4" s="34"/>
      <c r="L4" s="34">
        <v>46028</v>
      </c>
      <c r="M4" s="30" t="s">
        <v>110</v>
      </c>
      <c r="N4" s="30" t="s">
        <v>228</v>
      </c>
      <c r="O4" s="30" t="s">
        <v>229</v>
      </c>
      <c r="P4" s="30"/>
      <c r="Q4" s="30" t="s">
        <v>13</v>
      </c>
    </row>
    <row r="5" spans="1:29" ht="13.5" customHeight="1">
      <c r="A5" s="30">
        <v>3910.3</v>
      </c>
      <c r="B5" s="30" t="s">
        <v>460</v>
      </c>
      <c r="C5" s="31" t="s">
        <v>117</v>
      </c>
      <c r="D5" s="32" t="s">
        <v>241</v>
      </c>
      <c r="E5" s="30" t="s">
        <v>10</v>
      </c>
      <c r="F5" s="30" t="s">
        <v>242</v>
      </c>
      <c r="G5" s="33">
        <v>45979</v>
      </c>
      <c r="H5" s="33">
        <v>46017</v>
      </c>
      <c r="I5" s="33" t="s">
        <v>937</v>
      </c>
      <c r="J5" s="33"/>
      <c r="K5" s="34"/>
      <c r="L5" s="34">
        <v>46036</v>
      </c>
      <c r="M5" s="30" t="s">
        <v>11</v>
      </c>
      <c r="N5" s="30" t="s">
        <v>224</v>
      </c>
      <c r="O5" s="30" t="s">
        <v>243</v>
      </c>
      <c r="P5" s="30"/>
      <c r="Q5" s="30" t="s">
        <v>112</v>
      </c>
    </row>
    <row r="6" spans="1:29" ht="13.5" customHeight="1">
      <c r="A6" s="161">
        <v>8616</v>
      </c>
      <c r="B6" s="30" t="s">
        <v>444</v>
      </c>
      <c r="C6" s="31" t="s">
        <v>117</v>
      </c>
      <c r="D6" s="32" t="s">
        <v>160</v>
      </c>
      <c r="E6" s="30" t="s">
        <v>10</v>
      </c>
      <c r="F6" s="30" t="s">
        <v>163</v>
      </c>
      <c r="G6" s="33">
        <v>45978</v>
      </c>
      <c r="H6" s="33">
        <v>46023</v>
      </c>
      <c r="I6" s="33" t="s">
        <v>937</v>
      </c>
      <c r="J6" s="33"/>
      <c r="K6" s="34"/>
      <c r="L6" s="34">
        <v>46037</v>
      </c>
      <c r="M6" s="30" t="s">
        <v>11</v>
      </c>
      <c r="N6" s="30" t="s">
        <v>12</v>
      </c>
      <c r="O6" s="30" t="s">
        <v>148</v>
      </c>
      <c r="P6" s="30"/>
      <c r="Q6" s="30" t="s">
        <v>112</v>
      </c>
    </row>
    <row r="7" spans="1:29" ht="13.5" customHeight="1">
      <c r="A7" s="162"/>
      <c r="B7" s="30" t="s">
        <v>444</v>
      </c>
      <c r="C7" s="31" t="s">
        <v>117</v>
      </c>
      <c r="D7" s="32" t="s">
        <v>161</v>
      </c>
      <c r="E7" s="30" t="s">
        <v>10</v>
      </c>
      <c r="F7" s="30" t="s">
        <v>164</v>
      </c>
      <c r="G7" s="33">
        <v>45978</v>
      </c>
      <c r="H7" s="33">
        <v>46023</v>
      </c>
      <c r="I7" s="33" t="s">
        <v>937</v>
      </c>
      <c r="J7" s="33"/>
      <c r="K7" s="34"/>
      <c r="L7" s="34">
        <v>46038</v>
      </c>
      <c r="M7" s="30" t="s">
        <v>11</v>
      </c>
      <c r="N7" s="30" t="s">
        <v>12</v>
      </c>
      <c r="O7" s="30" t="s">
        <v>148</v>
      </c>
      <c r="P7" s="30"/>
      <c r="Q7" s="30" t="s">
        <v>112</v>
      </c>
    </row>
    <row r="8" spans="1:29" ht="13.5" customHeight="1">
      <c r="A8" s="163"/>
      <c r="B8" s="30" t="s">
        <v>444</v>
      </c>
      <c r="C8" s="31" t="s">
        <v>117</v>
      </c>
      <c r="D8" s="32" t="s">
        <v>162</v>
      </c>
      <c r="E8" s="30" t="s">
        <v>10</v>
      </c>
      <c r="F8" s="30" t="s">
        <v>165</v>
      </c>
      <c r="G8" s="33">
        <v>45978</v>
      </c>
      <c r="H8" s="33">
        <v>46023</v>
      </c>
      <c r="I8" s="33" t="s">
        <v>937</v>
      </c>
      <c r="J8" s="33"/>
      <c r="K8" s="34"/>
      <c r="L8" s="34">
        <v>46041</v>
      </c>
      <c r="M8" s="30" t="s">
        <v>11</v>
      </c>
      <c r="N8" s="30" t="s">
        <v>12</v>
      </c>
      <c r="O8" s="30" t="s">
        <v>148</v>
      </c>
      <c r="P8" s="30"/>
      <c r="Q8" s="30" t="s">
        <v>112</v>
      </c>
    </row>
    <row r="9" spans="1:29" ht="13.5" customHeight="1">
      <c r="A9" s="43">
        <v>3206</v>
      </c>
      <c r="B9" s="30" t="s">
        <v>444</v>
      </c>
      <c r="C9" s="31" t="s">
        <v>14</v>
      </c>
      <c r="D9" s="32" t="s">
        <v>167</v>
      </c>
      <c r="E9" s="30" t="s">
        <v>147</v>
      </c>
      <c r="F9" s="30" t="s">
        <v>168</v>
      </c>
      <c r="G9" s="33">
        <v>45978</v>
      </c>
      <c r="H9" s="33">
        <v>46023</v>
      </c>
      <c r="I9" s="33" t="s">
        <v>937</v>
      </c>
      <c r="J9" s="33"/>
      <c r="K9" s="34"/>
      <c r="L9" s="34">
        <v>46037</v>
      </c>
      <c r="M9" s="30" t="s">
        <v>75</v>
      </c>
      <c r="N9" s="30" t="s">
        <v>127</v>
      </c>
      <c r="O9" s="30" t="s">
        <v>152</v>
      </c>
      <c r="P9" s="30"/>
      <c r="Q9" s="30" t="s">
        <v>13</v>
      </c>
    </row>
    <row r="10" spans="1:29" ht="13.5" customHeight="1">
      <c r="A10" s="30">
        <v>3823.3</v>
      </c>
      <c r="B10" s="30" t="s">
        <v>460</v>
      </c>
      <c r="C10" s="31" t="s">
        <v>117</v>
      </c>
      <c r="D10" s="32" t="s">
        <v>230</v>
      </c>
      <c r="E10" s="30" t="s">
        <v>10</v>
      </c>
      <c r="F10" s="30" t="s">
        <v>231</v>
      </c>
      <c r="G10" s="33">
        <v>45966</v>
      </c>
      <c r="H10" s="33">
        <v>46022</v>
      </c>
      <c r="I10" s="33" t="s">
        <v>937</v>
      </c>
      <c r="J10" s="33"/>
      <c r="K10" s="34"/>
      <c r="L10" s="34">
        <v>46038</v>
      </c>
      <c r="M10" s="30" t="s">
        <v>11</v>
      </c>
      <c r="N10" s="30" t="s">
        <v>224</v>
      </c>
      <c r="O10" s="30" t="s">
        <v>232</v>
      </c>
      <c r="P10" s="30"/>
      <c r="Q10" s="30" t="s">
        <v>112</v>
      </c>
    </row>
    <row r="11" spans="1:29" ht="13.5" customHeight="1">
      <c r="A11" s="30">
        <v>2954</v>
      </c>
      <c r="B11" s="30" t="s">
        <v>444</v>
      </c>
      <c r="C11" s="31" t="s">
        <v>117</v>
      </c>
      <c r="D11" s="32" t="s">
        <v>166</v>
      </c>
      <c r="E11" s="30" t="s">
        <v>10</v>
      </c>
      <c r="F11" s="30" t="s">
        <v>169</v>
      </c>
      <c r="G11" s="33">
        <v>45978</v>
      </c>
      <c r="H11" s="33">
        <v>46023</v>
      </c>
      <c r="I11" s="33" t="s">
        <v>937</v>
      </c>
      <c r="J11" s="33"/>
      <c r="K11" s="34"/>
      <c r="L11" s="34">
        <v>46044</v>
      </c>
      <c r="M11" s="30" t="s">
        <v>110</v>
      </c>
      <c r="N11" s="30" t="s">
        <v>118</v>
      </c>
      <c r="O11" s="30" t="s">
        <v>151</v>
      </c>
      <c r="P11" s="30"/>
      <c r="Q11" s="30" t="s">
        <v>112</v>
      </c>
    </row>
    <row r="12" spans="1:29" ht="13.5" customHeight="1">
      <c r="A12" s="30">
        <v>2866.75</v>
      </c>
      <c r="B12" s="30" t="s">
        <v>460</v>
      </c>
      <c r="C12" s="31" t="s">
        <v>236</v>
      </c>
      <c r="D12" s="32" t="s">
        <v>237</v>
      </c>
      <c r="E12" s="30" t="s">
        <v>10</v>
      </c>
      <c r="F12" s="30" t="s">
        <v>238</v>
      </c>
      <c r="G12" s="33">
        <v>45966</v>
      </c>
      <c r="H12" s="33">
        <v>46022</v>
      </c>
      <c r="I12" s="33" t="s">
        <v>937</v>
      </c>
      <c r="J12" s="33"/>
      <c r="K12" s="34"/>
      <c r="L12" s="34">
        <v>46042</v>
      </c>
      <c r="M12" s="30" t="s">
        <v>75</v>
      </c>
      <c r="N12" s="30" t="s">
        <v>127</v>
      </c>
      <c r="O12" s="30" t="s">
        <v>239</v>
      </c>
      <c r="P12" s="30" t="s">
        <v>240</v>
      </c>
      <c r="Q12" s="30" t="s">
        <v>112</v>
      </c>
    </row>
    <row r="13" spans="1:29" ht="13.5" customHeight="1">
      <c r="A13" s="30">
        <v>3727.25</v>
      </c>
      <c r="B13" s="30" t="s">
        <v>444</v>
      </c>
      <c r="C13" s="31" t="s">
        <v>9</v>
      </c>
      <c r="D13" s="32" t="s">
        <v>172</v>
      </c>
      <c r="E13" s="30" t="s">
        <v>10</v>
      </c>
      <c r="F13" s="30" t="s">
        <v>214</v>
      </c>
      <c r="G13" s="33">
        <v>45992</v>
      </c>
      <c r="H13" s="33">
        <v>45666</v>
      </c>
      <c r="I13" s="33" t="s">
        <v>937</v>
      </c>
      <c r="J13" s="33"/>
      <c r="K13" s="34"/>
      <c r="L13" s="34">
        <v>46045</v>
      </c>
      <c r="M13" s="30" t="s">
        <v>78</v>
      </c>
      <c r="N13" s="30" t="s">
        <v>12</v>
      </c>
      <c r="O13" s="30" t="s">
        <v>173</v>
      </c>
      <c r="P13" s="30" t="s">
        <v>192</v>
      </c>
      <c r="Q13" s="30" t="s">
        <v>52</v>
      </c>
    </row>
    <row r="14" spans="1:29" ht="13.5" customHeight="1">
      <c r="A14" s="30">
        <v>3727.25</v>
      </c>
      <c r="B14" s="30" t="s">
        <v>444</v>
      </c>
      <c r="C14" s="31" t="s">
        <v>116</v>
      </c>
      <c r="D14" s="32" t="s">
        <v>216</v>
      </c>
      <c r="E14" s="30" t="s">
        <v>10</v>
      </c>
      <c r="F14" s="30" t="s">
        <v>217</v>
      </c>
      <c r="G14" s="33">
        <v>45999</v>
      </c>
      <c r="H14" s="33">
        <v>46041</v>
      </c>
      <c r="I14" s="33" t="s">
        <v>937</v>
      </c>
      <c r="J14" s="33"/>
      <c r="K14" s="34"/>
      <c r="L14" s="34">
        <v>46050</v>
      </c>
      <c r="M14" s="30" t="s">
        <v>78</v>
      </c>
      <c r="N14" s="30" t="s">
        <v>12</v>
      </c>
      <c r="O14" s="30" t="s">
        <v>218</v>
      </c>
      <c r="P14" s="30"/>
      <c r="Q14" s="30" t="s">
        <v>219</v>
      </c>
    </row>
    <row r="15" spans="1:29" ht="13.5" customHeight="1">
      <c r="A15" s="30">
        <v>3389</v>
      </c>
      <c r="B15" s="30" t="s">
        <v>444</v>
      </c>
      <c r="C15" s="31" t="s">
        <v>14</v>
      </c>
      <c r="D15" s="32" t="s">
        <v>171</v>
      </c>
      <c r="E15" s="30" t="s">
        <v>10</v>
      </c>
      <c r="F15" s="30" t="s">
        <v>305</v>
      </c>
      <c r="G15" s="33">
        <v>45992</v>
      </c>
      <c r="H15" s="33">
        <v>46041</v>
      </c>
      <c r="I15" s="33" t="s">
        <v>937</v>
      </c>
      <c r="J15" s="33"/>
      <c r="K15" s="34"/>
      <c r="L15" s="34">
        <v>46051</v>
      </c>
      <c r="M15" s="30" t="s">
        <v>78</v>
      </c>
      <c r="N15" s="30" t="s">
        <v>118</v>
      </c>
      <c r="O15" s="30" t="s">
        <v>159</v>
      </c>
      <c r="P15" s="30"/>
      <c r="Q15" s="30" t="s">
        <v>13</v>
      </c>
    </row>
    <row r="16" spans="1:29" ht="13.5" customHeight="1">
      <c r="A16" s="30">
        <v>3389</v>
      </c>
      <c r="B16" s="30" t="s">
        <v>444</v>
      </c>
      <c r="C16" s="31" t="s">
        <v>14</v>
      </c>
      <c r="D16" s="32" t="s">
        <v>170</v>
      </c>
      <c r="E16" s="30" t="s">
        <v>10</v>
      </c>
      <c r="F16" s="30" t="s">
        <v>304</v>
      </c>
      <c r="G16" s="33">
        <v>45992</v>
      </c>
      <c r="H16" s="33">
        <v>46041</v>
      </c>
      <c r="I16" s="33" t="s">
        <v>937</v>
      </c>
      <c r="J16" s="33"/>
      <c r="K16" s="34"/>
      <c r="L16" s="34">
        <v>46051</v>
      </c>
      <c r="M16" s="30" t="s">
        <v>78</v>
      </c>
      <c r="N16" s="30" t="s">
        <v>118</v>
      </c>
      <c r="O16" s="30" t="s">
        <v>145</v>
      </c>
      <c r="P16" s="30"/>
      <c r="Q16" s="30" t="s">
        <v>13</v>
      </c>
    </row>
    <row r="17" spans="1:17" ht="13.5" customHeight="1">
      <c r="A17" s="30">
        <v>3902.55</v>
      </c>
      <c r="B17" s="30" t="s">
        <v>445</v>
      </c>
      <c r="C17" s="31" t="s">
        <v>174</v>
      </c>
      <c r="D17" s="32" t="s">
        <v>199</v>
      </c>
      <c r="E17" s="30" t="s">
        <v>10</v>
      </c>
      <c r="F17" s="30" t="s">
        <v>200</v>
      </c>
      <c r="G17" s="33">
        <v>45994</v>
      </c>
      <c r="H17" s="33" t="s">
        <v>307</v>
      </c>
      <c r="I17" s="33" t="s">
        <v>937</v>
      </c>
      <c r="J17" s="33"/>
      <c r="K17" s="34" t="s">
        <v>306</v>
      </c>
      <c r="L17" s="34">
        <v>46052</v>
      </c>
      <c r="M17" s="30" t="s">
        <v>78</v>
      </c>
      <c r="N17" s="30" t="s">
        <v>12</v>
      </c>
      <c r="O17" s="30" t="s">
        <v>201</v>
      </c>
      <c r="P17" s="30" t="s">
        <v>221</v>
      </c>
      <c r="Q17" s="30" t="s">
        <v>52</v>
      </c>
    </row>
    <row r="18" spans="1:17" ht="13.5" customHeight="1">
      <c r="A18" s="30">
        <v>3679</v>
      </c>
      <c r="B18" s="30" t="s">
        <v>443</v>
      </c>
      <c r="C18" s="31" t="s">
        <v>194</v>
      </c>
      <c r="D18" s="32" t="s">
        <v>175</v>
      </c>
      <c r="E18" s="30" t="s">
        <v>10</v>
      </c>
      <c r="F18" s="30" t="s">
        <v>215</v>
      </c>
      <c r="G18" s="33">
        <v>45994</v>
      </c>
      <c r="H18" s="33">
        <v>46057</v>
      </c>
      <c r="I18" s="33" t="s">
        <v>937</v>
      </c>
      <c r="J18" s="33"/>
      <c r="K18" s="34"/>
      <c r="L18" s="34">
        <v>46064</v>
      </c>
      <c r="M18" s="30" t="s">
        <v>78</v>
      </c>
      <c r="N18" s="30" t="s">
        <v>12</v>
      </c>
      <c r="O18" s="30" t="s">
        <v>173</v>
      </c>
      <c r="P18" s="30" t="s">
        <v>193</v>
      </c>
      <c r="Q18" s="30" t="s">
        <v>52</v>
      </c>
    </row>
    <row r="19" spans="1:17" ht="13.5" customHeight="1">
      <c r="A19" s="30">
        <v>3745</v>
      </c>
      <c r="B19" s="30" t="s">
        <v>444</v>
      </c>
      <c r="C19" s="31" t="s">
        <v>117</v>
      </c>
      <c r="D19" s="32" t="s">
        <v>176</v>
      </c>
      <c r="E19" s="30" t="s">
        <v>10</v>
      </c>
      <c r="F19" s="30" t="s">
        <v>308</v>
      </c>
      <c r="G19" s="33">
        <v>46006</v>
      </c>
      <c r="H19" s="33">
        <v>46060</v>
      </c>
      <c r="I19" s="33" t="s">
        <v>937</v>
      </c>
      <c r="J19" s="33"/>
      <c r="K19" s="34"/>
      <c r="L19" s="34">
        <v>46072</v>
      </c>
      <c r="M19" s="30" t="s">
        <v>78</v>
      </c>
      <c r="N19" s="30" t="s">
        <v>12</v>
      </c>
      <c r="O19" s="30" t="s">
        <v>178</v>
      </c>
      <c r="P19" s="30"/>
      <c r="Q19" s="30" t="s">
        <v>112</v>
      </c>
    </row>
    <row r="20" spans="1:17" ht="13.5" customHeight="1">
      <c r="A20" s="30">
        <v>3645</v>
      </c>
      <c r="B20" s="30" t="s">
        <v>444</v>
      </c>
      <c r="C20" s="31" t="s">
        <v>117</v>
      </c>
      <c r="D20" s="32" t="s">
        <v>177</v>
      </c>
      <c r="E20" s="30" t="s">
        <v>10</v>
      </c>
      <c r="F20" s="30" t="s">
        <v>309</v>
      </c>
      <c r="G20" s="33">
        <v>46006</v>
      </c>
      <c r="H20" s="33">
        <v>46060</v>
      </c>
      <c r="I20" s="33" t="s">
        <v>937</v>
      </c>
      <c r="J20" s="33"/>
      <c r="K20" s="34"/>
      <c r="L20" s="34">
        <v>46073</v>
      </c>
      <c r="M20" s="30" t="s">
        <v>78</v>
      </c>
      <c r="N20" s="30" t="s">
        <v>12</v>
      </c>
      <c r="O20" s="30" t="s">
        <v>178</v>
      </c>
      <c r="P20" s="30"/>
      <c r="Q20" s="30" t="s">
        <v>112</v>
      </c>
    </row>
    <row r="21" spans="1:17" ht="13.5" customHeight="1">
      <c r="A21" s="30">
        <v>3745</v>
      </c>
      <c r="B21" s="30" t="s">
        <v>444</v>
      </c>
      <c r="C21" s="31" t="s">
        <v>275</v>
      </c>
      <c r="D21" s="32" t="s">
        <v>220</v>
      </c>
      <c r="E21" s="30" t="s">
        <v>10</v>
      </c>
      <c r="F21" s="30" t="s">
        <v>310</v>
      </c>
      <c r="G21" s="33">
        <v>46006</v>
      </c>
      <c r="H21" s="33">
        <v>46060</v>
      </c>
      <c r="I21" s="33" t="s">
        <v>937</v>
      </c>
      <c r="J21" s="33"/>
      <c r="K21" s="34"/>
      <c r="L21" s="34">
        <v>46071</v>
      </c>
      <c r="M21" s="30" t="s">
        <v>78</v>
      </c>
      <c r="N21" s="30" t="s">
        <v>118</v>
      </c>
      <c r="O21" s="30" t="s">
        <v>244</v>
      </c>
      <c r="P21" s="30"/>
      <c r="Q21" s="30" t="s">
        <v>13</v>
      </c>
    </row>
    <row r="22" spans="1:17" ht="13.5" customHeight="1">
      <c r="A22" s="30">
        <v>3517</v>
      </c>
      <c r="B22" s="30" t="s">
        <v>445</v>
      </c>
      <c r="C22" s="31" t="s">
        <v>117</v>
      </c>
      <c r="D22" s="32" t="s">
        <v>273</v>
      </c>
      <c r="E22" s="30" t="s">
        <v>10</v>
      </c>
      <c r="F22" s="30" t="s">
        <v>287</v>
      </c>
      <c r="G22" s="33">
        <v>45993</v>
      </c>
      <c r="H22" s="33">
        <v>46067</v>
      </c>
      <c r="I22" s="33" t="s">
        <v>937</v>
      </c>
      <c r="J22" s="33"/>
      <c r="K22" s="34"/>
      <c r="L22" s="34">
        <v>46076</v>
      </c>
      <c r="M22" s="30" t="s">
        <v>78</v>
      </c>
      <c r="N22" s="30" t="s">
        <v>12</v>
      </c>
      <c r="O22" s="30" t="s">
        <v>280</v>
      </c>
      <c r="P22" s="30"/>
      <c r="Q22" s="30" t="s">
        <v>112</v>
      </c>
    </row>
    <row r="23" spans="1:17" ht="13.5" customHeight="1">
      <c r="A23" s="30">
        <v>3517</v>
      </c>
      <c r="B23" s="30" t="s">
        <v>445</v>
      </c>
      <c r="C23" s="31" t="s">
        <v>275</v>
      </c>
      <c r="D23" s="32" t="s">
        <v>276</v>
      </c>
      <c r="E23" s="30" t="s">
        <v>10</v>
      </c>
      <c r="F23" s="30" t="s">
        <v>312</v>
      </c>
      <c r="G23" s="33">
        <v>45993</v>
      </c>
      <c r="H23" s="33">
        <v>46067</v>
      </c>
      <c r="I23" s="33" t="s">
        <v>937</v>
      </c>
      <c r="J23" s="33"/>
      <c r="K23" s="34"/>
      <c r="L23" s="34">
        <v>46076</v>
      </c>
      <c r="M23" s="30" t="s">
        <v>78</v>
      </c>
      <c r="N23" s="30" t="s">
        <v>154</v>
      </c>
      <c r="O23" s="30" t="s">
        <v>302</v>
      </c>
      <c r="P23" s="30" t="s">
        <v>441</v>
      </c>
      <c r="Q23" s="30" t="s">
        <v>13</v>
      </c>
    </row>
    <row r="24" spans="1:17" ht="13.5" customHeight="1">
      <c r="A24" s="30">
        <v>3517</v>
      </c>
      <c r="B24" s="30" t="s">
        <v>445</v>
      </c>
      <c r="C24" s="31" t="s">
        <v>275</v>
      </c>
      <c r="D24" s="32" t="s">
        <v>277</v>
      </c>
      <c r="E24" s="30" t="s">
        <v>10</v>
      </c>
      <c r="F24" s="30" t="s">
        <v>313</v>
      </c>
      <c r="G24" s="33">
        <v>45993</v>
      </c>
      <c r="H24" s="33">
        <v>46067</v>
      </c>
      <c r="I24" s="33" t="s">
        <v>937</v>
      </c>
      <c r="J24" s="33"/>
      <c r="K24" s="34"/>
      <c r="L24" s="34">
        <v>46077</v>
      </c>
      <c r="M24" s="30" t="s">
        <v>78</v>
      </c>
      <c r="N24" s="30" t="s">
        <v>281</v>
      </c>
      <c r="O24" s="30" t="s">
        <v>303</v>
      </c>
      <c r="P24" s="30"/>
      <c r="Q24" s="30" t="s">
        <v>13</v>
      </c>
    </row>
    <row r="25" spans="1:17" ht="13.5" customHeight="1">
      <c r="A25" s="30">
        <v>3517</v>
      </c>
      <c r="B25" s="30" t="s">
        <v>445</v>
      </c>
      <c r="C25" s="31" t="s">
        <v>117</v>
      </c>
      <c r="D25" s="32" t="s">
        <v>278</v>
      </c>
      <c r="E25" s="30" t="s">
        <v>10</v>
      </c>
      <c r="F25" s="30" t="s">
        <v>314</v>
      </c>
      <c r="G25" s="33">
        <v>45993</v>
      </c>
      <c r="H25" s="33">
        <v>46067</v>
      </c>
      <c r="I25" s="33" t="s">
        <v>937</v>
      </c>
      <c r="J25" s="33"/>
      <c r="K25" s="34"/>
      <c r="L25" s="34">
        <v>46076</v>
      </c>
      <c r="M25" s="30" t="s">
        <v>78</v>
      </c>
      <c r="N25" s="30" t="s">
        <v>282</v>
      </c>
      <c r="O25" s="30" t="s">
        <v>301</v>
      </c>
      <c r="P25" s="30"/>
      <c r="Q25" s="30" t="s">
        <v>112</v>
      </c>
    </row>
    <row r="26" spans="1:17" ht="13.5" customHeight="1">
      <c r="A26" s="30">
        <v>3517</v>
      </c>
      <c r="B26" s="30" t="s">
        <v>445</v>
      </c>
      <c r="C26" s="31" t="s">
        <v>117</v>
      </c>
      <c r="D26" s="32" t="s">
        <v>274</v>
      </c>
      <c r="E26" s="30" t="s">
        <v>10</v>
      </c>
      <c r="F26" s="30" t="s">
        <v>286</v>
      </c>
      <c r="G26" s="33">
        <v>45993</v>
      </c>
      <c r="H26" s="33">
        <v>46067</v>
      </c>
      <c r="I26" s="33" t="s">
        <v>937</v>
      </c>
      <c r="J26" s="33"/>
      <c r="K26" s="34"/>
      <c r="L26" s="34">
        <v>46078</v>
      </c>
      <c r="M26" s="30" t="s">
        <v>78</v>
      </c>
      <c r="N26" s="30" t="s">
        <v>12</v>
      </c>
      <c r="O26" s="30" t="s">
        <v>280</v>
      </c>
      <c r="P26" s="30"/>
      <c r="Q26" s="30" t="s">
        <v>112</v>
      </c>
    </row>
    <row r="27" spans="1:17" ht="13.5" customHeight="1">
      <c r="A27" s="30">
        <v>3517</v>
      </c>
      <c r="B27" s="30" t="s">
        <v>445</v>
      </c>
      <c r="C27" s="31" t="s">
        <v>275</v>
      </c>
      <c r="D27" s="32" t="s">
        <v>272</v>
      </c>
      <c r="E27" s="30" t="s">
        <v>10</v>
      </c>
      <c r="F27" s="30" t="s">
        <v>311</v>
      </c>
      <c r="G27" s="33">
        <v>45993</v>
      </c>
      <c r="H27" s="33">
        <v>46067</v>
      </c>
      <c r="I27" s="33" t="s">
        <v>937</v>
      </c>
      <c r="J27" s="33"/>
      <c r="K27" s="34"/>
      <c r="L27" s="34">
        <v>46078</v>
      </c>
      <c r="M27" s="30" t="s">
        <v>78</v>
      </c>
      <c r="N27" s="30" t="s">
        <v>281</v>
      </c>
      <c r="O27" s="30" t="s">
        <v>279</v>
      </c>
      <c r="P27" s="30"/>
      <c r="Q27" s="30" t="s">
        <v>13</v>
      </c>
    </row>
    <row r="28" spans="1:17" ht="13.5" customHeight="1">
      <c r="A28" s="30">
        <v>4465</v>
      </c>
      <c r="B28" s="30" t="s">
        <v>445</v>
      </c>
      <c r="C28" s="31" t="s">
        <v>275</v>
      </c>
      <c r="D28" s="32" t="s">
        <v>335</v>
      </c>
      <c r="E28" s="30" t="s">
        <v>10</v>
      </c>
      <c r="F28" s="30" t="s">
        <v>487</v>
      </c>
      <c r="G28" s="33">
        <v>46040</v>
      </c>
      <c r="H28" s="33">
        <v>46093</v>
      </c>
      <c r="I28" s="33" t="s">
        <v>937</v>
      </c>
      <c r="J28" s="33"/>
      <c r="K28" s="34"/>
      <c r="L28" s="34">
        <v>46097</v>
      </c>
      <c r="M28" s="30" t="s">
        <v>78</v>
      </c>
      <c r="N28" s="30" t="s">
        <v>154</v>
      </c>
      <c r="O28" s="30" t="s">
        <v>153</v>
      </c>
      <c r="P28" s="30"/>
      <c r="Q28" s="30" t="s">
        <v>13</v>
      </c>
    </row>
    <row r="29" spans="1:17" ht="13.5" customHeight="1">
      <c r="A29" s="30">
        <v>4378</v>
      </c>
      <c r="B29" s="30" t="s">
        <v>460</v>
      </c>
      <c r="C29" s="31" t="s">
        <v>117</v>
      </c>
      <c r="D29" s="32" t="s">
        <v>457</v>
      </c>
      <c r="E29" s="30" t="s">
        <v>10</v>
      </c>
      <c r="F29" s="30" t="s">
        <v>462</v>
      </c>
      <c r="G29" s="33">
        <v>46054</v>
      </c>
      <c r="H29" s="33">
        <v>46088</v>
      </c>
      <c r="I29" s="33" t="s">
        <v>937</v>
      </c>
      <c r="J29" s="33"/>
      <c r="K29" s="34"/>
      <c r="L29" s="34">
        <v>46099</v>
      </c>
      <c r="M29" s="30" t="s">
        <v>75</v>
      </c>
      <c r="N29" s="30" t="s">
        <v>481</v>
      </c>
      <c r="O29" s="30" t="s">
        <v>459</v>
      </c>
      <c r="P29" s="30"/>
      <c r="Q29" s="30"/>
    </row>
    <row r="30" spans="1:17" ht="13.5" customHeight="1">
      <c r="A30" s="30">
        <v>4465</v>
      </c>
      <c r="B30" s="30" t="s">
        <v>445</v>
      </c>
      <c r="C30" s="31" t="s">
        <v>117</v>
      </c>
      <c r="D30" s="32" t="s">
        <v>328</v>
      </c>
      <c r="E30" s="30" t="s">
        <v>10</v>
      </c>
      <c r="F30" s="30" t="s">
        <v>482</v>
      </c>
      <c r="G30" s="33">
        <v>46040</v>
      </c>
      <c r="H30" s="33">
        <v>46093</v>
      </c>
      <c r="I30" s="33" t="s">
        <v>937</v>
      </c>
      <c r="J30" s="33"/>
      <c r="K30" s="34"/>
      <c r="L30" s="34">
        <v>46099</v>
      </c>
      <c r="M30" s="30" t="s">
        <v>78</v>
      </c>
      <c r="N30" s="30" t="s">
        <v>323</v>
      </c>
      <c r="O30" s="30" t="s">
        <v>316</v>
      </c>
      <c r="P30" s="30"/>
      <c r="Q30" s="30" t="s">
        <v>112</v>
      </c>
    </row>
    <row r="31" spans="1:17" ht="13.5" customHeight="1">
      <c r="A31" s="30">
        <v>4465</v>
      </c>
      <c r="B31" s="30" t="s">
        <v>445</v>
      </c>
      <c r="C31" s="31" t="s">
        <v>117</v>
      </c>
      <c r="D31" s="32" t="s">
        <v>329</v>
      </c>
      <c r="E31" s="30" t="s">
        <v>10</v>
      </c>
      <c r="F31" s="30" t="s">
        <v>483</v>
      </c>
      <c r="G31" s="33">
        <v>46040</v>
      </c>
      <c r="H31" s="33">
        <v>46093</v>
      </c>
      <c r="I31" s="33" t="s">
        <v>937</v>
      </c>
      <c r="J31" s="33"/>
      <c r="K31" s="34"/>
      <c r="L31" s="34">
        <v>46099</v>
      </c>
      <c r="M31" s="30" t="s">
        <v>78</v>
      </c>
      <c r="N31" s="30" t="s">
        <v>323</v>
      </c>
      <c r="O31" s="30" t="s">
        <v>317</v>
      </c>
      <c r="P31" s="30"/>
      <c r="Q31" s="30" t="s">
        <v>112</v>
      </c>
    </row>
    <row r="32" spans="1:17" ht="13.5" customHeight="1">
      <c r="A32" s="30">
        <v>4465</v>
      </c>
      <c r="B32" s="30" t="s">
        <v>445</v>
      </c>
      <c r="C32" s="31" t="s">
        <v>117</v>
      </c>
      <c r="D32" s="32" t="s">
        <v>330</v>
      </c>
      <c r="E32" s="30" t="s">
        <v>10</v>
      </c>
      <c r="F32" s="30" t="s">
        <v>484</v>
      </c>
      <c r="G32" s="33">
        <v>46040</v>
      </c>
      <c r="H32" s="33">
        <v>46093</v>
      </c>
      <c r="I32" s="33" t="s">
        <v>937</v>
      </c>
      <c r="J32" s="33"/>
      <c r="K32" s="34"/>
      <c r="L32" s="34">
        <v>46100</v>
      </c>
      <c r="M32" s="30" t="s">
        <v>78</v>
      </c>
      <c r="N32" s="30" t="s">
        <v>324</v>
      </c>
      <c r="O32" s="30" t="s">
        <v>318</v>
      </c>
      <c r="P32" s="30"/>
      <c r="Q32" s="30" t="s">
        <v>112</v>
      </c>
    </row>
    <row r="33" spans="1:17" ht="13.5" customHeight="1">
      <c r="A33" s="30">
        <v>4465</v>
      </c>
      <c r="B33" s="30" t="s">
        <v>445</v>
      </c>
      <c r="C33" s="31" t="s">
        <v>275</v>
      </c>
      <c r="D33" s="32" t="s">
        <v>333</v>
      </c>
      <c r="E33" s="30" t="s">
        <v>10</v>
      </c>
      <c r="F33" s="30" t="s">
        <v>485</v>
      </c>
      <c r="G33" s="33">
        <v>46040</v>
      </c>
      <c r="H33" s="33">
        <v>46093</v>
      </c>
      <c r="I33" s="33" t="s">
        <v>937</v>
      </c>
      <c r="J33" s="33"/>
      <c r="K33" s="34"/>
      <c r="L33" s="34">
        <v>46101</v>
      </c>
      <c r="M33" s="30" t="s">
        <v>78</v>
      </c>
      <c r="N33" s="30" t="s">
        <v>281</v>
      </c>
      <c r="O33" s="30" t="s">
        <v>321</v>
      </c>
      <c r="P33" s="30"/>
      <c r="Q33" s="30" t="s">
        <v>13</v>
      </c>
    </row>
    <row r="34" spans="1:17" ht="13.5" customHeight="1">
      <c r="A34" s="30">
        <v>4465</v>
      </c>
      <c r="B34" s="30" t="s">
        <v>445</v>
      </c>
      <c r="C34" s="31" t="s">
        <v>275</v>
      </c>
      <c r="D34" s="32" t="s">
        <v>334</v>
      </c>
      <c r="E34" s="30" t="s">
        <v>10</v>
      </c>
      <c r="F34" s="30" t="s">
        <v>486</v>
      </c>
      <c r="G34" s="33">
        <v>46040</v>
      </c>
      <c r="H34" s="33">
        <v>46093</v>
      </c>
      <c r="I34" s="33" t="s">
        <v>937</v>
      </c>
      <c r="J34" s="33"/>
      <c r="K34" s="34"/>
      <c r="L34" s="34">
        <v>46098</v>
      </c>
      <c r="M34" s="30" t="s">
        <v>78</v>
      </c>
      <c r="N34" s="30" t="s">
        <v>325</v>
      </c>
      <c r="O34" s="30" t="s">
        <v>322</v>
      </c>
      <c r="P34" s="30"/>
      <c r="Q34" s="30" t="s">
        <v>13</v>
      </c>
    </row>
    <row r="35" spans="1:17" ht="13.5" customHeight="1">
      <c r="A35" s="30">
        <v>4210</v>
      </c>
      <c r="B35" s="30" t="s">
        <v>446</v>
      </c>
      <c r="C35" s="31" t="s">
        <v>315</v>
      </c>
      <c r="D35" s="32" t="s">
        <v>331</v>
      </c>
      <c r="E35" s="30" t="s">
        <v>10</v>
      </c>
      <c r="F35" s="30" t="s">
        <v>451</v>
      </c>
      <c r="G35" s="33">
        <v>46038</v>
      </c>
      <c r="H35" s="33">
        <v>46110</v>
      </c>
      <c r="I35" s="33" t="s">
        <v>937</v>
      </c>
      <c r="J35" s="33"/>
      <c r="K35" s="34"/>
      <c r="L35" s="34">
        <v>46119</v>
      </c>
      <c r="M35" s="30" t="s">
        <v>78</v>
      </c>
      <c r="N35" s="30" t="s">
        <v>12</v>
      </c>
      <c r="O35" s="30" t="s">
        <v>319</v>
      </c>
      <c r="P35" s="30" t="s">
        <v>397</v>
      </c>
      <c r="Q35" s="30" t="s">
        <v>398</v>
      </c>
    </row>
    <row r="36" spans="1:17" ht="13.5" customHeight="1">
      <c r="A36" s="30">
        <v>4210</v>
      </c>
      <c r="B36" s="30" t="s">
        <v>446</v>
      </c>
      <c r="C36" s="31" t="s">
        <v>9</v>
      </c>
      <c r="D36" s="32" t="s">
        <v>332</v>
      </c>
      <c r="E36" s="30" t="s">
        <v>10</v>
      </c>
      <c r="F36" s="30" t="s">
        <v>489</v>
      </c>
      <c r="G36" s="33">
        <v>46039</v>
      </c>
      <c r="H36" s="33">
        <v>46115</v>
      </c>
      <c r="I36" s="33" t="s">
        <v>937</v>
      </c>
      <c r="J36" s="33"/>
      <c r="K36" s="34"/>
      <c r="L36" s="34">
        <v>46125</v>
      </c>
      <c r="M36" s="30" t="s">
        <v>78</v>
      </c>
      <c r="N36" s="30" t="s">
        <v>12</v>
      </c>
      <c r="O36" s="30" t="s">
        <v>320</v>
      </c>
      <c r="P36" s="30" t="s">
        <v>326</v>
      </c>
      <c r="Q36" s="30" t="s">
        <v>326</v>
      </c>
    </row>
    <row r="37" spans="1:17" ht="13.5" customHeight="1">
      <c r="A37" s="30">
        <v>4000</v>
      </c>
      <c r="B37" s="30" t="s">
        <v>444</v>
      </c>
      <c r="C37" s="31" t="s">
        <v>275</v>
      </c>
      <c r="D37" s="32" t="s">
        <v>456</v>
      </c>
      <c r="E37" s="30" t="s">
        <v>10</v>
      </c>
      <c r="F37" s="30" t="s">
        <v>461</v>
      </c>
      <c r="G37" s="33">
        <v>46057</v>
      </c>
      <c r="H37" s="33">
        <v>46121</v>
      </c>
      <c r="I37" s="33" t="s">
        <v>937</v>
      </c>
      <c r="J37" s="33"/>
      <c r="K37" s="34"/>
      <c r="L37" s="34">
        <v>46128</v>
      </c>
      <c r="M37" s="30" t="s">
        <v>78</v>
      </c>
      <c r="N37" s="30" t="s">
        <v>12</v>
      </c>
      <c r="O37" s="30" t="s">
        <v>458</v>
      </c>
      <c r="P37" s="30"/>
      <c r="Q37" s="30" t="s">
        <v>13</v>
      </c>
    </row>
    <row r="38" spans="1:17" ht="13.5" customHeight="1">
      <c r="A38" s="30">
        <v>4232</v>
      </c>
      <c r="B38" s="30" t="s">
        <v>445</v>
      </c>
      <c r="C38" s="31" t="s">
        <v>275</v>
      </c>
      <c r="D38" s="32" t="s">
        <v>449</v>
      </c>
      <c r="E38" s="30" t="s">
        <v>10</v>
      </c>
      <c r="F38" s="30" t="s">
        <v>450</v>
      </c>
      <c r="G38" s="33">
        <v>46052</v>
      </c>
      <c r="H38" s="33">
        <v>46115</v>
      </c>
      <c r="I38" s="33" t="s">
        <v>937</v>
      </c>
      <c r="J38" s="33"/>
      <c r="K38" s="34"/>
      <c r="L38" s="34">
        <v>46132</v>
      </c>
      <c r="M38" s="30" t="s">
        <v>78</v>
      </c>
      <c r="N38" s="30" t="s">
        <v>150</v>
      </c>
      <c r="O38" s="30" t="s">
        <v>149</v>
      </c>
      <c r="P38" s="30"/>
      <c r="Q38" s="30" t="s">
        <v>13</v>
      </c>
    </row>
    <row r="39" spans="1:17" ht="13.5" customHeight="1">
      <c r="A39" s="30">
        <v>4000</v>
      </c>
      <c r="B39" s="30" t="s">
        <v>444</v>
      </c>
      <c r="C39" s="31" t="s">
        <v>275</v>
      </c>
      <c r="D39" s="32" t="s">
        <v>447</v>
      </c>
      <c r="E39" s="30" t="s">
        <v>147</v>
      </c>
      <c r="F39" s="30" t="s">
        <v>448</v>
      </c>
      <c r="G39" s="33">
        <v>46057</v>
      </c>
      <c r="H39" s="33">
        <v>46121</v>
      </c>
      <c r="I39" s="33" t="s">
        <v>937</v>
      </c>
      <c r="J39" s="33"/>
      <c r="K39" s="34"/>
      <c r="L39" s="34">
        <v>46129</v>
      </c>
      <c r="M39" s="30" t="s">
        <v>78</v>
      </c>
      <c r="N39" s="30" t="s">
        <v>12</v>
      </c>
      <c r="O39" s="30" t="s">
        <v>158</v>
      </c>
      <c r="P39" s="30"/>
      <c r="Q39" s="30" t="s">
        <v>13</v>
      </c>
    </row>
    <row r="40" spans="1:17" ht="13.5" customHeight="1">
      <c r="A40" s="30">
        <v>4322</v>
      </c>
      <c r="B40" s="30" t="s">
        <v>445</v>
      </c>
      <c r="C40" s="31" t="s">
        <v>275</v>
      </c>
      <c r="D40" s="32" t="s">
        <v>452</v>
      </c>
      <c r="E40" s="30" t="s">
        <v>10</v>
      </c>
      <c r="F40" s="30" t="s">
        <v>453</v>
      </c>
      <c r="G40" s="33">
        <v>46048</v>
      </c>
      <c r="H40" s="33">
        <v>46122</v>
      </c>
      <c r="I40" s="33" t="s">
        <v>937</v>
      </c>
      <c r="J40" s="33"/>
      <c r="K40" s="34"/>
      <c r="L40" s="34">
        <v>46133</v>
      </c>
      <c r="M40" s="30" t="s">
        <v>78</v>
      </c>
      <c r="N40" s="30" t="s">
        <v>281</v>
      </c>
      <c r="O40" s="30" t="s">
        <v>454</v>
      </c>
      <c r="P40" s="30"/>
      <c r="Q40" s="30" t="s">
        <v>13</v>
      </c>
    </row>
    <row r="41" spans="1:17" ht="13.5" customHeight="1">
      <c r="A41" s="30">
        <v>3910</v>
      </c>
      <c r="B41" s="30" t="s">
        <v>460</v>
      </c>
      <c r="C41" s="31" t="s">
        <v>116</v>
      </c>
      <c r="D41" s="32" t="s">
        <v>463</v>
      </c>
      <c r="E41" s="30" t="s">
        <v>10</v>
      </c>
      <c r="F41" s="30" t="s">
        <v>488</v>
      </c>
      <c r="G41" s="33">
        <v>46061</v>
      </c>
      <c r="H41" s="33">
        <v>46119</v>
      </c>
      <c r="I41" s="33" t="s">
        <v>937</v>
      </c>
      <c r="J41" s="33"/>
      <c r="K41" s="34"/>
      <c r="L41" s="34">
        <v>46134</v>
      </c>
      <c r="M41" s="30" t="s">
        <v>75</v>
      </c>
      <c r="N41" s="30" t="s">
        <v>480</v>
      </c>
      <c r="O41" s="30" t="s">
        <v>464</v>
      </c>
      <c r="P41" s="30"/>
      <c r="Q41" s="30" t="s">
        <v>219</v>
      </c>
    </row>
    <row r="42" spans="1:17" ht="13.5" customHeight="1">
      <c r="A42" s="30">
        <v>4785.45</v>
      </c>
      <c r="B42" s="30" t="s">
        <v>460</v>
      </c>
      <c r="C42" s="31" t="s">
        <v>275</v>
      </c>
      <c r="D42" s="32" t="s">
        <v>531</v>
      </c>
      <c r="E42" s="30" t="s">
        <v>10</v>
      </c>
      <c r="F42" s="30" t="s">
        <v>532</v>
      </c>
      <c r="G42" s="33">
        <v>46132</v>
      </c>
      <c r="H42" s="33">
        <v>46170</v>
      </c>
      <c r="I42" s="33" t="s">
        <v>937</v>
      </c>
      <c r="J42" s="33"/>
      <c r="K42" s="34"/>
      <c r="L42" s="34">
        <v>46176</v>
      </c>
      <c r="M42" s="30" t="s">
        <v>533</v>
      </c>
      <c r="N42" s="30" t="s">
        <v>12</v>
      </c>
      <c r="O42" s="30" t="s">
        <v>534</v>
      </c>
      <c r="P42" s="30" t="s">
        <v>535</v>
      </c>
      <c r="Q42" s="30" t="s">
        <v>13</v>
      </c>
    </row>
    <row r="43" spans="1:17" ht="13.5" customHeight="1">
      <c r="A43" s="30">
        <v>3743.66</v>
      </c>
      <c r="B43" s="30" t="s">
        <v>445</v>
      </c>
      <c r="C43" s="31" t="s">
        <v>9</v>
      </c>
      <c r="D43" s="32" t="s">
        <v>490</v>
      </c>
      <c r="E43" s="30" t="s">
        <v>10</v>
      </c>
      <c r="F43" s="30" t="s">
        <v>518</v>
      </c>
      <c r="G43" s="33">
        <v>46131</v>
      </c>
      <c r="H43" s="33">
        <v>46177</v>
      </c>
      <c r="I43" s="33" t="s">
        <v>937</v>
      </c>
      <c r="J43" s="33"/>
      <c r="K43" s="34"/>
      <c r="L43" s="34">
        <v>46182</v>
      </c>
      <c r="M43" s="30" t="s">
        <v>78</v>
      </c>
      <c r="N43" s="30" t="s">
        <v>12</v>
      </c>
      <c r="O43" s="30" t="s">
        <v>491</v>
      </c>
      <c r="P43" s="30" t="s">
        <v>492</v>
      </c>
      <c r="Q43" s="30" t="s">
        <v>493</v>
      </c>
    </row>
    <row r="44" spans="1:17" ht="13.5" customHeight="1">
      <c r="A44" s="30">
        <v>3743.66</v>
      </c>
      <c r="B44" s="30" t="s">
        <v>445</v>
      </c>
      <c r="C44" s="31" t="s">
        <v>117</v>
      </c>
      <c r="D44" s="32" t="s">
        <v>519</v>
      </c>
      <c r="E44" s="30" t="s">
        <v>10</v>
      </c>
      <c r="F44" s="30" t="s">
        <v>521</v>
      </c>
      <c r="G44" s="33">
        <v>46128</v>
      </c>
      <c r="H44" s="33">
        <v>46177</v>
      </c>
      <c r="I44" s="33" t="s">
        <v>937</v>
      </c>
      <c r="J44" s="33"/>
      <c r="K44" s="34"/>
      <c r="L44" s="34">
        <v>46184</v>
      </c>
      <c r="M44" s="30" t="s">
        <v>78</v>
      </c>
      <c r="N44" s="30" t="s">
        <v>12</v>
      </c>
      <c r="O44" s="30" t="s">
        <v>523</v>
      </c>
      <c r="P44" s="30"/>
      <c r="Q44" s="30" t="s">
        <v>112</v>
      </c>
    </row>
    <row r="45" spans="1:17" ht="13.5" customHeight="1">
      <c r="A45" s="30">
        <v>3743.66</v>
      </c>
      <c r="B45" s="30" t="s">
        <v>445</v>
      </c>
      <c r="C45" s="31" t="s">
        <v>117</v>
      </c>
      <c r="D45" s="32" t="s">
        <v>520</v>
      </c>
      <c r="E45" s="30" t="s">
        <v>10</v>
      </c>
      <c r="F45" s="30" t="s">
        <v>522</v>
      </c>
      <c r="G45" s="33">
        <v>46128</v>
      </c>
      <c r="H45" s="33">
        <v>46177</v>
      </c>
      <c r="I45" s="33" t="s">
        <v>937</v>
      </c>
      <c r="J45" s="33"/>
      <c r="K45" s="34"/>
      <c r="L45" s="34">
        <v>46182</v>
      </c>
      <c r="M45" s="30" t="s">
        <v>78</v>
      </c>
      <c r="N45" s="30" t="s">
        <v>12</v>
      </c>
      <c r="O45" s="30" t="s">
        <v>523</v>
      </c>
      <c r="P45" s="30"/>
      <c r="Q45" s="30" t="s">
        <v>112</v>
      </c>
    </row>
    <row r="46" spans="1:17" ht="13.5" customHeight="1">
      <c r="A46" s="30">
        <v>3743.66</v>
      </c>
      <c r="B46" s="30" t="s">
        <v>445</v>
      </c>
      <c r="C46" s="31" t="s">
        <v>117</v>
      </c>
      <c r="D46" s="32" t="s">
        <v>527</v>
      </c>
      <c r="E46" s="30" t="s">
        <v>10</v>
      </c>
      <c r="F46" s="30" t="s">
        <v>528</v>
      </c>
      <c r="G46" s="33">
        <v>46143</v>
      </c>
      <c r="H46" s="33">
        <v>46192</v>
      </c>
      <c r="I46" s="33" t="s">
        <v>937</v>
      </c>
      <c r="J46" s="33"/>
      <c r="K46" s="34"/>
      <c r="L46" s="34">
        <v>46196</v>
      </c>
      <c r="M46" s="30" t="s">
        <v>78</v>
      </c>
      <c r="N46" s="30" t="s">
        <v>530</v>
      </c>
      <c r="O46" s="30" t="s">
        <v>529</v>
      </c>
      <c r="P46" s="30"/>
      <c r="Q46" s="30" t="s">
        <v>112</v>
      </c>
    </row>
    <row r="47" spans="1:17" ht="13.5" customHeight="1">
      <c r="A47" s="30">
        <v>3811</v>
      </c>
      <c r="B47" s="30" t="s">
        <v>445</v>
      </c>
      <c r="C47" s="31" t="s">
        <v>236</v>
      </c>
      <c r="D47" s="32" t="s">
        <v>556</v>
      </c>
      <c r="E47" s="30" t="s">
        <v>10</v>
      </c>
      <c r="F47" s="30" t="s">
        <v>557</v>
      </c>
      <c r="G47" s="33">
        <v>46155</v>
      </c>
      <c r="H47" s="33">
        <v>46194</v>
      </c>
      <c r="I47" s="33" t="s">
        <v>937</v>
      </c>
      <c r="J47" s="33"/>
      <c r="K47" s="34"/>
      <c r="L47" s="34">
        <v>46202</v>
      </c>
      <c r="M47" s="30" t="s">
        <v>78</v>
      </c>
      <c r="N47" s="30" t="s">
        <v>12</v>
      </c>
      <c r="O47" s="30" t="s">
        <v>572</v>
      </c>
      <c r="P47" s="30"/>
      <c r="Q47" s="30" t="s">
        <v>112</v>
      </c>
    </row>
    <row r="48" spans="1:17" ht="13.5" customHeight="1">
      <c r="A48" s="30">
        <v>3811</v>
      </c>
      <c r="B48" s="30" t="s">
        <v>445</v>
      </c>
      <c r="C48" s="31" t="s">
        <v>275</v>
      </c>
      <c r="D48" s="32" t="s">
        <v>540</v>
      </c>
      <c r="E48" s="30" t="s">
        <v>10</v>
      </c>
      <c r="F48" s="30" t="s">
        <v>544</v>
      </c>
      <c r="G48" s="33">
        <v>46155</v>
      </c>
      <c r="H48" s="33">
        <v>46194</v>
      </c>
      <c r="I48" s="33" t="s">
        <v>937</v>
      </c>
      <c r="J48" s="33"/>
      <c r="K48" s="34" t="s">
        <v>570</v>
      </c>
      <c r="L48" s="34">
        <v>46203</v>
      </c>
      <c r="M48" s="30" t="s">
        <v>78</v>
      </c>
      <c r="N48" s="30" t="s">
        <v>552</v>
      </c>
      <c r="O48" s="30" t="s">
        <v>548</v>
      </c>
      <c r="P48" s="30"/>
      <c r="Q48" s="30" t="s">
        <v>13</v>
      </c>
    </row>
    <row r="49" spans="1:17" ht="13.5" customHeight="1">
      <c r="A49" s="30">
        <v>3811</v>
      </c>
      <c r="B49" s="30" t="s">
        <v>445</v>
      </c>
      <c r="C49" s="31" t="s">
        <v>275</v>
      </c>
      <c r="D49" s="32" t="s">
        <v>541</v>
      </c>
      <c r="E49" s="30" t="s">
        <v>10</v>
      </c>
      <c r="F49" s="30" t="s">
        <v>545</v>
      </c>
      <c r="G49" s="33">
        <v>46155</v>
      </c>
      <c r="H49" s="33">
        <v>46194</v>
      </c>
      <c r="I49" s="33" t="s">
        <v>937</v>
      </c>
      <c r="J49" s="33"/>
      <c r="K49" s="34"/>
      <c r="L49" s="34">
        <v>46202</v>
      </c>
      <c r="M49" s="30" t="s">
        <v>78</v>
      </c>
      <c r="N49" s="30" t="s">
        <v>555</v>
      </c>
      <c r="O49" s="30" t="s">
        <v>549</v>
      </c>
      <c r="P49" s="30"/>
      <c r="Q49" s="30" t="s">
        <v>13</v>
      </c>
    </row>
    <row r="50" spans="1:17" ht="13.5" customHeight="1">
      <c r="A50" s="30">
        <v>3811</v>
      </c>
      <c r="B50" s="30" t="s">
        <v>445</v>
      </c>
      <c r="C50" s="31" t="s">
        <v>275</v>
      </c>
      <c r="D50" s="32" t="s">
        <v>563</v>
      </c>
      <c r="E50" s="30" t="s">
        <v>10</v>
      </c>
      <c r="F50" s="30" t="s">
        <v>571</v>
      </c>
      <c r="G50" s="33">
        <v>46139</v>
      </c>
      <c r="H50" s="33">
        <v>46199</v>
      </c>
      <c r="I50" s="33" t="s">
        <v>937</v>
      </c>
      <c r="J50" s="33"/>
      <c r="K50" s="34" t="s">
        <v>569</v>
      </c>
      <c r="L50" s="34">
        <v>46204</v>
      </c>
      <c r="M50" s="30" t="s">
        <v>78</v>
      </c>
      <c r="N50" s="30" t="s">
        <v>553</v>
      </c>
      <c r="O50" s="30" t="s">
        <v>554</v>
      </c>
      <c r="P50" s="30"/>
      <c r="Q50" s="30" t="s">
        <v>13</v>
      </c>
    </row>
    <row r="51" spans="1:17" ht="13.5" customHeight="1">
      <c r="A51" s="30">
        <v>3811</v>
      </c>
      <c r="B51" s="30" t="s">
        <v>445</v>
      </c>
      <c r="C51" s="31" t="s">
        <v>275</v>
      </c>
      <c r="D51" s="32" t="s">
        <v>538</v>
      </c>
      <c r="E51" s="30" t="s">
        <v>10</v>
      </c>
      <c r="F51" s="30" t="s">
        <v>542</v>
      </c>
      <c r="G51" s="33">
        <v>46149</v>
      </c>
      <c r="H51" s="33">
        <v>46199</v>
      </c>
      <c r="I51" s="33" t="s">
        <v>937</v>
      </c>
      <c r="J51" s="33"/>
      <c r="K51" s="34" t="s">
        <v>569</v>
      </c>
      <c r="L51" s="34">
        <v>46204</v>
      </c>
      <c r="M51" s="30" t="s">
        <v>78</v>
      </c>
      <c r="N51" s="30" t="s">
        <v>550</v>
      </c>
      <c r="O51" s="30" t="s">
        <v>546</v>
      </c>
      <c r="P51" s="30"/>
      <c r="Q51" s="30" t="s">
        <v>13</v>
      </c>
    </row>
    <row r="52" spans="1:17" ht="13.5" customHeight="1">
      <c r="A52" s="30">
        <v>3811</v>
      </c>
      <c r="B52" s="30" t="s">
        <v>445</v>
      </c>
      <c r="C52" s="31" t="s">
        <v>275</v>
      </c>
      <c r="D52" s="32" t="s">
        <v>539</v>
      </c>
      <c r="E52" s="30" t="s">
        <v>10</v>
      </c>
      <c r="F52" s="30" t="s">
        <v>543</v>
      </c>
      <c r="G52" s="33">
        <v>46149</v>
      </c>
      <c r="H52" s="33">
        <v>46199</v>
      </c>
      <c r="I52" s="33" t="s">
        <v>937</v>
      </c>
      <c r="J52" s="33"/>
      <c r="K52" s="34" t="s">
        <v>569</v>
      </c>
      <c r="L52" s="34">
        <v>46203</v>
      </c>
      <c r="M52" s="30" t="s">
        <v>78</v>
      </c>
      <c r="N52" s="30" t="s">
        <v>551</v>
      </c>
      <c r="O52" s="30" t="s">
        <v>547</v>
      </c>
      <c r="P52" s="30"/>
      <c r="Q52" s="30" t="s">
        <v>13</v>
      </c>
    </row>
    <row r="53" spans="1:17">
      <c r="A53" s="11">
        <v>3300</v>
      </c>
      <c r="B53" s="28" t="s">
        <v>445</v>
      </c>
      <c r="C53" s="12" t="s">
        <v>579</v>
      </c>
      <c r="D53" s="13" t="s">
        <v>581</v>
      </c>
      <c r="E53" s="11" t="s">
        <v>580</v>
      </c>
      <c r="F53" s="11" t="s">
        <v>935</v>
      </c>
      <c r="G53" s="29">
        <v>46188</v>
      </c>
      <c r="H53" s="29">
        <v>46234</v>
      </c>
      <c r="I53" s="29" t="s">
        <v>938</v>
      </c>
      <c r="J53" s="29"/>
      <c r="K53" s="14"/>
      <c r="L53" s="14"/>
      <c r="M53" s="11" t="s">
        <v>78</v>
      </c>
      <c r="N53" s="11" t="s">
        <v>12</v>
      </c>
      <c r="O53" s="11" t="s">
        <v>582</v>
      </c>
      <c r="P53" s="47" t="s">
        <v>397</v>
      </c>
      <c r="Q53" s="28" t="s">
        <v>583</v>
      </c>
    </row>
    <row r="54" spans="1:17">
      <c r="A54" s="11">
        <v>4562</v>
      </c>
      <c r="B54" s="28" t="s">
        <v>446</v>
      </c>
      <c r="C54" s="12" t="s">
        <v>275</v>
      </c>
      <c r="D54" s="13" t="s">
        <v>577</v>
      </c>
      <c r="E54" s="11" t="s">
        <v>10</v>
      </c>
      <c r="F54" s="11"/>
      <c r="G54" s="29">
        <v>46186</v>
      </c>
      <c r="H54" s="29">
        <v>46240</v>
      </c>
      <c r="I54" s="33" t="s">
        <v>937</v>
      </c>
      <c r="J54" s="29"/>
      <c r="K54" s="14" t="s">
        <v>570</v>
      </c>
      <c r="L54" s="14"/>
      <c r="M54" s="11" t="s">
        <v>78</v>
      </c>
      <c r="N54" s="11" t="s">
        <v>575</v>
      </c>
      <c r="O54" s="11" t="s">
        <v>573</v>
      </c>
      <c r="P54" s="11"/>
      <c r="Q54" s="28" t="s">
        <v>13</v>
      </c>
    </row>
    <row r="55" spans="1:17">
      <c r="A55" s="11">
        <v>4562</v>
      </c>
      <c r="B55" s="28" t="s">
        <v>446</v>
      </c>
      <c r="C55" s="12" t="s">
        <v>275</v>
      </c>
      <c r="D55" s="13" t="s">
        <v>578</v>
      </c>
      <c r="E55" s="11" t="s">
        <v>10</v>
      </c>
      <c r="F55" s="11"/>
      <c r="G55" s="29">
        <v>46186</v>
      </c>
      <c r="H55" s="29">
        <v>46240</v>
      </c>
      <c r="I55" s="29" t="s">
        <v>938</v>
      </c>
      <c r="J55" s="29"/>
      <c r="K55" s="14" t="s">
        <v>570</v>
      </c>
      <c r="L55" s="14"/>
      <c r="M55" s="11" t="s">
        <v>78</v>
      </c>
      <c r="N55" s="11" t="s">
        <v>576</v>
      </c>
      <c r="O55" s="11" t="s">
        <v>574</v>
      </c>
      <c r="P55" s="11"/>
      <c r="Q55" s="28" t="s">
        <v>13</v>
      </c>
    </row>
    <row r="56" spans="1:17">
      <c r="A56" s="11">
        <v>4562</v>
      </c>
      <c r="B56" s="28" t="s">
        <v>446</v>
      </c>
      <c r="C56" s="12" t="s">
        <v>617</v>
      </c>
      <c r="D56" s="13" t="s">
        <v>618</v>
      </c>
      <c r="E56" s="11" t="s">
        <v>10</v>
      </c>
      <c r="F56" s="11" t="s">
        <v>630</v>
      </c>
      <c r="G56" s="29">
        <v>46187</v>
      </c>
      <c r="H56" s="29">
        <v>46240</v>
      </c>
      <c r="I56" s="29" t="s">
        <v>938</v>
      </c>
      <c r="J56" s="29"/>
      <c r="K56" s="14"/>
      <c r="L56" s="14"/>
      <c r="M56" s="11" t="s">
        <v>78</v>
      </c>
      <c r="N56" s="11" t="s">
        <v>12</v>
      </c>
      <c r="O56" s="11" t="s">
        <v>619</v>
      </c>
      <c r="P56" s="47" t="s">
        <v>397</v>
      </c>
      <c r="Q56" s="28" t="s">
        <v>620</v>
      </c>
    </row>
    <row r="57" spans="1:17">
      <c r="A57" s="11">
        <v>5260</v>
      </c>
      <c r="B57" s="28" t="s">
        <v>446</v>
      </c>
      <c r="C57" s="12" t="s">
        <v>117</v>
      </c>
      <c r="D57" s="13" t="s">
        <v>631</v>
      </c>
      <c r="E57" s="11" t="s">
        <v>10</v>
      </c>
      <c r="F57" s="11"/>
      <c r="G57" s="29">
        <v>46197</v>
      </c>
      <c r="H57" s="29">
        <v>46247</v>
      </c>
      <c r="I57" s="29" t="s">
        <v>938</v>
      </c>
      <c r="J57" s="29"/>
      <c r="K57" s="14"/>
      <c r="L57" s="14"/>
      <c r="M57" s="11" t="s">
        <v>78</v>
      </c>
      <c r="N57" s="11" t="s">
        <v>633</v>
      </c>
      <c r="O57" s="11" t="s">
        <v>632</v>
      </c>
      <c r="P57" s="47"/>
      <c r="Q57" s="28" t="s">
        <v>112</v>
      </c>
    </row>
    <row r="58" spans="1:17">
      <c r="A58" s="11">
        <v>5260</v>
      </c>
      <c r="B58" s="28" t="s">
        <v>446</v>
      </c>
      <c r="C58" s="12" t="s">
        <v>117</v>
      </c>
      <c r="D58" s="13" t="s">
        <v>635</v>
      </c>
      <c r="E58" s="11" t="s">
        <v>10</v>
      </c>
      <c r="F58" s="11"/>
      <c r="G58" s="29">
        <v>46197</v>
      </c>
      <c r="H58" s="29">
        <v>46247</v>
      </c>
      <c r="I58" s="29" t="s">
        <v>938</v>
      </c>
      <c r="J58" s="29"/>
      <c r="K58" s="14"/>
      <c r="L58" s="14"/>
      <c r="M58" s="11" t="s">
        <v>78</v>
      </c>
      <c r="N58" s="11" t="s">
        <v>12</v>
      </c>
      <c r="O58" s="11" t="s">
        <v>636</v>
      </c>
      <c r="P58" s="47" t="s">
        <v>397</v>
      </c>
      <c r="Q58" s="28" t="s">
        <v>637</v>
      </c>
    </row>
    <row r="59" spans="1:17">
      <c r="A59" s="11">
        <v>4562</v>
      </c>
      <c r="B59" s="28" t="s">
        <v>446</v>
      </c>
      <c r="C59" s="12" t="s">
        <v>649</v>
      </c>
      <c r="D59" s="13" t="s">
        <v>652</v>
      </c>
      <c r="E59" s="11" t="s">
        <v>10</v>
      </c>
      <c r="F59" s="11"/>
      <c r="G59" s="29">
        <v>46202</v>
      </c>
      <c r="H59" s="29">
        <v>46270</v>
      </c>
      <c r="I59" s="29" t="s">
        <v>938</v>
      </c>
      <c r="J59" s="29"/>
      <c r="K59" s="14"/>
      <c r="L59" s="14"/>
      <c r="M59" s="11" t="s">
        <v>78</v>
      </c>
      <c r="N59" s="11" t="s">
        <v>12</v>
      </c>
      <c r="O59" s="11" t="s">
        <v>650</v>
      </c>
      <c r="P59" s="47" t="s">
        <v>397</v>
      </c>
      <c r="Q59" s="28" t="s">
        <v>651</v>
      </c>
    </row>
    <row r="60" spans="1:17">
      <c r="A60" s="11">
        <v>6143</v>
      </c>
      <c r="B60" s="28" t="s">
        <v>446</v>
      </c>
      <c r="C60" s="12" t="s">
        <v>117</v>
      </c>
      <c r="D60" s="13" t="s">
        <v>932</v>
      </c>
      <c r="E60" s="11" t="s">
        <v>10</v>
      </c>
      <c r="F60" s="11"/>
      <c r="G60" s="29">
        <v>46205</v>
      </c>
      <c r="H60" s="29">
        <v>46254</v>
      </c>
      <c r="I60" s="29" t="s">
        <v>938</v>
      </c>
      <c r="J60" s="29"/>
      <c r="K60" s="14"/>
      <c r="L60" s="14"/>
      <c r="M60" s="11" t="s">
        <v>78</v>
      </c>
      <c r="N60" s="11" t="s">
        <v>934</v>
      </c>
      <c r="O60" s="11" t="s">
        <v>933</v>
      </c>
      <c r="P60" s="47"/>
      <c r="Q60" s="28" t="s">
        <v>112</v>
      </c>
    </row>
  </sheetData>
  <autoFilter ref="A1:AC60" xr:uid="{A01393F1-2C45-461C-9B1D-AADCC2416C69}"/>
  <mergeCells count="1">
    <mergeCell ref="A6:A8"/>
  </mergeCells>
  <phoneticPr fontId="43" type="noConversion"/>
  <hyperlinks>
    <hyperlink ref="D8" location="MRKU4976524!A1" display="MRKU4976524" xr:uid="{D63489EA-97B4-481E-863D-F3C34CE76145}"/>
    <hyperlink ref="D11" location="MSKU0654460!A1" display="MSKU0654460" xr:uid="{419D2C83-5AE9-4DD9-8C54-04C579DE7F15}"/>
    <hyperlink ref="D9" location="MRKU3244447!A1" display="MRKU3244447" xr:uid="{979D715A-6906-400C-ADFD-82D336882BE6}"/>
    <hyperlink ref="D16" location="CAIU8294053!A1" display="CAIU8294053" xr:uid="{E371AF3F-09A0-41B3-A8C2-AC04B7F8DB80}"/>
    <hyperlink ref="D15" location="MSKU9770693!A1" display="MSKU9770693" xr:uid="{A70B15A5-350F-424E-8BD9-0F70BE90907F}"/>
    <hyperlink ref="D6" location="CAAU7083644!A1" display="CAAU7083644" xr:uid="{E8DE8C9C-7237-4199-A185-80C952584413}"/>
    <hyperlink ref="D7" location="MRKU4170138!A1" display="MRKU4170138" xr:uid="{9B6DCEB8-5793-4C57-A808-E6017900BE44}"/>
    <hyperlink ref="D13" location="MRKU3567877!A1" display="MRKU3567877" xr:uid="{C7328580-3662-4EE5-BC1C-4986A74E2254}"/>
    <hyperlink ref="D18" location="FANU3359264!A1" display="FANU3359264" xr:uid="{AB71DD18-80D9-4CF3-B76E-16211C2304AF}"/>
    <hyperlink ref="D19" location="HASU4497484!A1" display="HASU4497484" xr:uid="{63B7045E-6BCB-4A88-8B0F-7CDBFE2C4420}"/>
    <hyperlink ref="D20" location="TRHU4437683!A1" display="TRHU4437683" xr:uid="{6B05667C-395B-4A91-933C-89628BC01A53}"/>
    <hyperlink ref="D17" location="TCNU5152906!A1" display="TCNU5152906" xr:uid="{BD3A9D73-5EEA-46E6-B75D-61FD1DD19A9D}"/>
    <hyperlink ref="D21" location="MRSU7266658!A1" display="MRSU7266658" xr:uid="{1F2AE717-864B-4DF9-82C6-FAC06A532CE1}"/>
    <hyperlink ref="D12" location="FSCU8840228!A1" display="FSCU8840228" xr:uid="{73A645B2-A997-41AA-BE5E-2BAFFC510AD8}"/>
    <hyperlink ref="D10" location="TCNU1554912!A1" display="TCNU1554912" xr:uid="{FE7FCEE3-954D-4692-B5DC-98ED47893087}"/>
    <hyperlink ref="D3" location="TCNU2374129!A1" display="TCNU2374129" xr:uid="{222426AD-DB48-4936-8CD9-3B6A19E593F4}"/>
    <hyperlink ref="D2" location="CAAU5904294!A1" display="CAAU5904294" xr:uid="{69B1A5F9-D19C-4F91-B199-1A6280C2F335}"/>
    <hyperlink ref="D5" location="MSMU5852428!A1" display="MSMU5852428" xr:uid="{FD31C220-3544-482D-A228-160C5A87F6FD}"/>
    <hyperlink ref="D4" location="MSMU4227658!A1" display="MSMU4227658" xr:uid="{D9A894D2-1EEB-4D90-96C3-7FA4D7B630C2}"/>
    <hyperlink ref="D14" location="MRKU4372041!A1" display="MRKU4372041" xr:uid="{B8FC6D9D-62E3-49EA-8714-5A0D80C25036}"/>
    <hyperlink ref="D27" location="CMAU7126778!A1" display="CMAU7126778" xr:uid="{445E120D-1BDE-461F-A2B9-1E4621D56AB5}"/>
    <hyperlink ref="D22" location="SEKU7815267!A1" display="SEKU7815267" xr:uid="{F5CC2421-95D0-4997-BA78-F685627F4AEA}"/>
    <hyperlink ref="D26" location="SEKU7815288!A1" display="SEKU7815288" xr:uid="{1D08AF68-65AB-4208-83B8-C6A85100B687}"/>
    <hyperlink ref="D24" location="SEKU7815225!A1" display="SEKU7815225" xr:uid="{5A829A60-AB4B-4466-BC3B-A9B0DB81D7A3}"/>
    <hyperlink ref="D23" location="SEKU7814189!A1" display="SEKU7814189" xr:uid="{1F17B93F-5254-4499-85FF-0C84202F3394}"/>
    <hyperlink ref="D30" location="SEKU7816514!A1" display="SEKU7816514" xr:uid="{4850C1A8-D5B0-4683-B3AD-02642F7E3C79}"/>
    <hyperlink ref="D31" location="SEKU7816577!A1" display="SEKU7816577" xr:uid="{95B1D2AD-235D-41DF-BD3E-461C3D01CF1B}"/>
    <hyperlink ref="D32" location="SEKU7816480!A1" display="SEKU7816480" xr:uid="{8277FE74-78F2-41E1-968D-236586A1346F}"/>
    <hyperlink ref="D35" location="NYKU4794090!A1" display="NYKU4794090" xr:uid="{0A8004B9-99BC-40CD-99A1-FBBA0AB86AE0}"/>
    <hyperlink ref="D36" location="ONEU1147585!A1" display="ONEU1147585" xr:uid="{AE2BE707-F808-4DC4-BCCF-43E57875235F}"/>
    <hyperlink ref="D33" location="SEKU7816788!A1" display="SEKU7816788" xr:uid="{10B9EDA4-AB85-4DBD-8357-17F91147AD1E}"/>
    <hyperlink ref="D28" location="SEKU7816495!A1" display="SEKU7816495" xr:uid="{C80DF5F7-9B46-40E4-B2DB-CA7F0C347948}"/>
    <hyperlink ref="D34" location="SEKU7816767!A1" display="SEKU7816767" xr:uid="{41632620-4187-49F9-B0B0-6E86CC84DAE3}"/>
    <hyperlink ref="D25" location="SEKU7815204!A1" display="SEKU7815204" xr:uid="{B9F60FD6-00EC-430F-A1D0-566E971426CC}"/>
    <hyperlink ref="D39" location="MRSU7112185!A1" display="MRSU7112185" xr:uid="{C0CA13BF-F88D-4213-AEEF-069326925EDF}"/>
    <hyperlink ref="D38" location="CMAU7035404!A1" display="CMAU7035404" xr:uid="{4F8A2DF8-609E-48E0-87FD-343E1BE63998}"/>
    <hyperlink ref="D40" location="CMAU6742059!A1" display="CMAU6742059" xr:uid="{32B80F09-4ACB-4A87-8093-2D4CEE2F1ACC}"/>
    <hyperlink ref="D41" location="MRKU4372041!A1" display="MRKU4372041" xr:uid="{7D11C6F6-4C4F-4EB8-85C6-27D5E3E78783}"/>
    <hyperlink ref="D37" location="MRSU3054645!A1" display="MRSU3054645" xr:uid="{4B5770CC-0DD8-4D1C-BB56-C15D4A51C9D4}"/>
    <hyperlink ref="D29" location="MSMU6056997!A1" display="MSMU6056997" xr:uid="{B1FD2178-CF96-47A9-8446-C3429B0A7377}"/>
    <hyperlink ref="D46" location="TCLU6374264!A1" display="TCLU6374264" xr:uid="{1590C45B-D34B-4F86-A6DE-39A60BA2D58D}"/>
    <hyperlink ref="D42" location="MSMU8426391!A1" display="MSMU8426391" xr:uid="{0B2FF97C-8C36-41B5-8D1D-24467568F698}"/>
    <hyperlink ref="D44" location="CAIU9472020!A1" display="CAIU9472020" xr:uid="{25BA927E-1197-45EA-8455-406191DF783F}"/>
    <hyperlink ref="D43" location="CMAU6149465!A1" display="CMAU6149465" xr:uid="{8D1D78F7-F985-4188-A7B7-EEC6929711AB}"/>
    <hyperlink ref="D45" location="UETU5559061!A1" display="UETU5559061" xr:uid="{5F5E6C1B-11D7-42FB-8C77-137A690FB46F}"/>
    <hyperlink ref="D47" location="TCLU8910094!A1" display="TCLU8910094" xr:uid="{B07F65D2-5F39-4A76-A616-D05B9315E63E}"/>
    <hyperlink ref="D50" location="DDDU5046665!A1" display="DDDU5046665" xr:uid="{AC4A8920-F253-40FF-A2DF-0A23F5EA84D0}"/>
    <hyperlink ref="D52" location="TLLU4428396!A1" display="TLLU4428396" xr:uid="{709C4FAE-3345-47E1-A579-9CB07769FD96}"/>
    <hyperlink ref="D49" location="CMAU7447870!A1" display="CMAU7447870" xr:uid="{C8958330-F7CD-483B-AC6D-EA263B0227B6}"/>
    <hyperlink ref="D54" location="KKFU7935971!A1" display="KKFU7935971" xr:uid="{801BF0C9-5BA7-418D-9749-5C9C46ABED97}"/>
    <hyperlink ref="D55" location="SEGU5176476!A1" display="SEGU5176476" xr:uid="{9497A46E-BBBE-4112-96CB-065EE20853AD}"/>
    <hyperlink ref="D53" location="FCIU3873512!A1" display="FCIU3873512" xr:uid="{50C56386-BC7D-44FF-82A6-F4D87F716727}"/>
    <hyperlink ref="D56" location="NYKU0846132!A1" display="NYKU0846132" xr:uid="{DDE6807E-6A7C-4CB2-9091-DCAFE7648D40}"/>
    <hyperlink ref="D57" location="TRHU4608301!A1" display="TRHU4608301" xr:uid="{E4C49338-0A28-4A31-B7D7-863F1A44FD91}"/>
    <hyperlink ref="D48" location="TCNU3632887!A1" display="TCNU3632887" xr:uid="{BBEE563A-EFB3-453E-A67C-A2A7BE55E103}"/>
    <hyperlink ref="D58" location="ONEU1030860!A1" display="ONEU1030860" xr:uid="{F8372C0B-B8D2-4E47-8105-82E81FD9D929}"/>
    <hyperlink ref="D51" location="TCNU3717752!A1" display="TCNU3717752" xr:uid="{81496336-97E6-475F-9477-2F41518F31C7}"/>
    <hyperlink ref="D59" location="TCNU5901856!A1" display="TCNU5901856" xr:uid="{602D5919-88BD-47C6-A4F6-FAE9C8AF48DC}"/>
    <hyperlink ref="D60" location="ONEU6060805!A1" display="ONEU6060805" xr:uid="{2D4E3F4D-7E84-4DB4-B383-F2276ADBA515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4A51B-AC29-496B-B96D-EF6FF0DD50BD}">
  <dimension ref="C1:K14"/>
  <sheetViews>
    <sheetView workbookViewId="0">
      <selection activeCell="J2" sqref="J2:K4"/>
    </sheetView>
  </sheetViews>
  <sheetFormatPr defaultRowHeight="15"/>
  <cols>
    <col min="3" max="3" width="22.140625" bestFit="1" customWidth="1"/>
    <col min="4" max="4" width="14.140625" bestFit="1" customWidth="1"/>
    <col min="5" max="5" width="48.85546875" bestFit="1" customWidth="1"/>
    <col min="6" max="6" width="8.1406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45</v>
      </c>
      <c r="D3" s="26" t="s">
        <v>79</v>
      </c>
      <c r="E3" s="25" t="s">
        <v>80</v>
      </c>
      <c r="F3" s="25">
        <v>200</v>
      </c>
      <c r="G3" s="16">
        <f>IF(C3&lt;&gt;"",VLOOKUP(C3,valores!A:E,5,FALSE),IF(D3&lt;&gt;"",VLOOKUP(D3,valores!B:E,4,FALSE),""))</f>
        <v>98</v>
      </c>
      <c r="H3" t="e">
        <f t="shared" ref="H3:H12" si="0">G3/$E$14</f>
        <v>#DIV/0!</v>
      </c>
      <c r="J3" s="166"/>
      <c r="K3" s="167"/>
    </row>
    <row r="4" spans="3:11" ht="15.75" thickBot="1">
      <c r="C4" s="25" t="s">
        <v>44</v>
      </c>
      <c r="D4" s="26" t="s">
        <v>73</v>
      </c>
      <c r="E4" s="25" t="s">
        <v>74</v>
      </c>
      <c r="F4" s="25">
        <v>180</v>
      </c>
      <c r="G4" s="16">
        <f>IF(C4&lt;&gt;"",VLOOKUP(C4,valores!A:E,5,FALSE),IF(D4&lt;&gt;"",VLOOKUP(D4,valores!B:E,4,FALSE),""))</f>
        <v>65.5</v>
      </c>
      <c r="H4" t="e">
        <f t="shared" si="0"/>
        <v>#DIV/0!</v>
      </c>
      <c r="J4" s="168"/>
      <c r="K4" s="169"/>
    </row>
    <row r="5" spans="3:11">
      <c r="C5" s="25"/>
      <c r="D5" s="26"/>
      <c r="E5" s="25"/>
      <c r="F5" s="25"/>
      <c r="G5" s="16" t="str">
        <f>IF(C5&lt;&gt;"",VLOOKUP(C5,valores!A:E,5,FALSE),IF(D5&lt;&gt;"",VLOOKUP(D5,valores!B:E,4,FALSE),""))</f>
        <v/>
      </c>
      <c r="H5" t="e">
        <f t="shared" si="0"/>
        <v>#VALUE!</v>
      </c>
    </row>
    <row r="6" spans="3:11">
      <c r="C6" s="25"/>
      <c r="D6" s="26"/>
      <c r="E6" s="25"/>
      <c r="F6" s="25"/>
      <c r="G6" s="16" t="str">
        <f>IF(C6&lt;&gt;"",VLOOKUP(C6,valores!A:E,5,FALSE),IF(D6&lt;&gt;"",VLOOKUP(D6,valores!B:E,4,FALSE),""))</f>
        <v/>
      </c>
      <c r="H6" t="e">
        <f t="shared" si="0"/>
        <v>#VALUE!</v>
      </c>
    </row>
    <row r="7" spans="3:11">
      <c r="C7" s="25"/>
      <c r="D7" s="26"/>
      <c r="E7" s="25"/>
      <c r="F7" s="25"/>
      <c r="G7" s="16" t="str">
        <f>IF(C7&lt;&gt;"",VLOOKUP(C7,valores!A:E,5,FALSE),IF(D7&lt;&gt;"",VLOOKUP(D7,valores!B:E,4,FALSE),""))</f>
        <v/>
      </c>
      <c r="H7" t="e">
        <f t="shared" si="0"/>
        <v>#VALUE!</v>
      </c>
    </row>
    <row r="8" spans="3:11">
      <c r="C8" s="25"/>
      <c r="D8" s="26"/>
      <c r="E8" s="25"/>
      <c r="F8" s="25"/>
      <c r="G8" s="16" t="str">
        <f>IF(C8&lt;&gt;"",VLOOKUP(C8,valores!A:E,5,FALSE),IF(D8&lt;&gt;"",VLOOKUP(D8,valores!B:E,4,FALSE),""))</f>
        <v/>
      </c>
      <c r="H8" t="e">
        <f t="shared" si="0"/>
        <v>#VALUE!</v>
      </c>
    </row>
    <row r="9" spans="3:11">
      <c r="C9" s="25"/>
      <c r="D9" s="26"/>
      <c r="E9" s="25"/>
      <c r="F9" s="25"/>
      <c r="G9" s="16" t="str">
        <f>IF(C9&lt;&gt;"",VLOOKUP(C9,valores!A:E,5,FALSE),IF(D9&lt;&gt;"",VLOOKUP(D9,valores!B:E,4,FALSE),""))</f>
        <v/>
      </c>
      <c r="H9" t="e">
        <f t="shared" si="0"/>
        <v>#VALUE!</v>
      </c>
    </row>
    <row r="10" spans="3:11">
      <c r="C10" s="25"/>
      <c r="D10" s="26"/>
      <c r="E10" s="25"/>
      <c r="F10" s="25"/>
      <c r="G10" s="16" t="str">
        <f>IF(C10&lt;&gt;"",VLOOKUP(C10,valores!A:E,5,FALSE),IF(D10&lt;&gt;"",VLOOKUP(D10,valores!B:E,4,FALSE),""))</f>
        <v/>
      </c>
      <c r="H10" t="e">
        <f t="shared" si="0"/>
        <v>#VALUE!</v>
      </c>
    </row>
    <row r="11" spans="3:11">
      <c r="C11" s="25"/>
      <c r="D11" s="26"/>
      <c r="E11" s="25"/>
      <c r="F11" s="25"/>
      <c r="G11" s="16" t="str">
        <f>IF(C11&lt;&gt;"",VLOOKUP(C11,valores!A:E,5,FALSE),IF(D11&lt;&gt;"",VLOOKUP(D11,valores!B:E,4,FALSE),""))</f>
        <v/>
      </c>
      <c r="H11" t="e">
        <f t="shared" si="0"/>
        <v>#VALUE!</v>
      </c>
    </row>
    <row r="12" spans="3:11">
      <c r="C12" s="25"/>
      <c r="D12" s="26"/>
      <c r="E12" s="25"/>
      <c r="F12" s="9"/>
      <c r="G12" s="16" t="str">
        <f>IF(C12&lt;&gt;"",VLOOKUP(C12,valores!A:E,5,FALSE),IF(D12&lt;&gt;"",VLOOKUP(D12,valores!B:E,4,FALSE),""))</f>
        <v/>
      </c>
      <c r="H12" t="e">
        <f t="shared" si="0"/>
        <v>#VALUE!</v>
      </c>
    </row>
    <row r="13" spans="3:11">
      <c r="G13" s="16"/>
    </row>
    <row r="14" spans="3:11">
      <c r="D14" s="9" t="s">
        <v>61</v>
      </c>
      <c r="E14" s="9"/>
    </row>
  </sheetData>
  <mergeCells count="1">
    <mergeCell ref="J2:K4"/>
  </mergeCells>
  <hyperlinks>
    <hyperlink ref="J2:K4" location="Fornecedores_Contentores!A1" display="INICIO" xr:uid="{B166A5FD-8DED-4C49-A611-2CBAEA6D1B6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58C1-5D7A-4CD5-BC92-85FB0D74F12C}">
  <dimension ref="B1:K14"/>
  <sheetViews>
    <sheetView workbookViewId="0">
      <selection sqref="A1:L18"/>
    </sheetView>
  </sheetViews>
  <sheetFormatPr defaultRowHeight="15"/>
  <cols>
    <col min="2" max="2" width="10.5703125" bestFit="1" customWidth="1"/>
    <col min="3" max="3" width="22.140625" bestFit="1" customWidth="1"/>
    <col min="4" max="4" width="14.140625" bestFit="1" customWidth="1"/>
    <col min="5" max="5" width="49.7109375" bestFit="1" customWidth="1"/>
    <col min="6" max="6" width="8.140625" bestFit="1" customWidth="1"/>
    <col min="7" max="7" width="8.5703125" bestFit="1" customWidth="1"/>
    <col min="8" max="8" width="7.7109375" bestFit="1" customWidth="1"/>
  </cols>
  <sheetData>
    <row r="1" spans="2:11" ht="15.75" thickBot="1"/>
    <row r="2" spans="2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2:11">
      <c r="B3" s="53" t="s">
        <v>616</v>
      </c>
      <c r="C3" s="35" t="s">
        <v>653</v>
      </c>
      <c r="D3" s="36">
        <v>5600413207673</v>
      </c>
      <c r="E3" s="35" t="s">
        <v>659</v>
      </c>
      <c r="F3" s="35">
        <v>40</v>
      </c>
      <c r="G3" s="16">
        <f>IF(C3&lt;&gt;"",VLOOKUP(C3,valores!A:E,5,FALSE),IF(D3&lt;&gt;"",VLOOKUP(D3,valores!B:E,4,FALSE),""))</f>
        <v>133.5</v>
      </c>
      <c r="H3" t="e">
        <f t="shared" ref="H3:H12" si="0">G3/$E$14</f>
        <v>#DIV/0!</v>
      </c>
      <c r="J3" s="166"/>
      <c r="K3" s="167"/>
    </row>
    <row r="4" spans="2:11" ht="15.75" thickBot="1">
      <c r="B4" s="53" t="s">
        <v>616</v>
      </c>
      <c r="C4" s="35" t="s">
        <v>654</v>
      </c>
      <c r="D4" s="36">
        <v>5600413207703</v>
      </c>
      <c r="E4" s="35" t="s">
        <v>660</v>
      </c>
      <c r="F4" s="35">
        <v>115</v>
      </c>
      <c r="G4" s="16">
        <f>IF(C4&lt;&gt;"",VLOOKUP(C4,valores!A:E,5,FALSE),IF(D4&lt;&gt;"",VLOOKUP(D4,valores!B:E,4,FALSE),""))</f>
        <v>133.5</v>
      </c>
      <c r="H4" t="e">
        <f t="shared" si="0"/>
        <v>#DIV/0!</v>
      </c>
      <c r="J4" s="168"/>
      <c r="K4" s="169"/>
    </row>
    <row r="5" spans="2:11">
      <c r="B5" s="53" t="s">
        <v>616</v>
      </c>
      <c r="C5" s="35" t="s">
        <v>655</v>
      </c>
      <c r="D5" s="36">
        <v>5600413207710</v>
      </c>
      <c r="E5" s="35" t="s">
        <v>661</v>
      </c>
      <c r="F5" s="35">
        <v>80</v>
      </c>
      <c r="G5" s="16">
        <f>IF(C5&lt;&gt;"",VLOOKUP(C5,valores!A:E,5,FALSE),IF(D5&lt;&gt;"",VLOOKUP(D5,valores!B:E,4,FALSE),""))</f>
        <v>133.5</v>
      </c>
      <c r="H5" t="e">
        <f t="shared" si="0"/>
        <v>#DIV/0!</v>
      </c>
    </row>
    <row r="6" spans="2:11">
      <c r="C6" s="25" t="s">
        <v>656</v>
      </c>
      <c r="D6" s="26">
        <v>5600413207635</v>
      </c>
      <c r="E6" s="25" t="s">
        <v>662</v>
      </c>
      <c r="F6" s="25">
        <v>25</v>
      </c>
      <c r="G6" s="16">
        <f>IF(C6&lt;&gt;"",VLOOKUP(C6,valores!A:E,5,FALSE),IF(D6&lt;&gt;"",VLOOKUP(D6,valores!B:E,4,FALSE),""))</f>
        <v>133.5</v>
      </c>
      <c r="H6" t="e">
        <f t="shared" si="0"/>
        <v>#DIV/0!</v>
      </c>
    </row>
    <row r="7" spans="2:11">
      <c r="C7" s="25" t="s">
        <v>657</v>
      </c>
      <c r="D7" s="26">
        <v>5600413207659</v>
      </c>
      <c r="E7" s="25" t="s">
        <v>663</v>
      </c>
      <c r="F7" s="25">
        <v>25</v>
      </c>
      <c r="G7" s="16">
        <f>IF(C7&lt;&gt;"",VLOOKUP(C7,valores!A:E,5,FALSE),IF(D7&lt;&gt;"",VLOOKUP(D7,valores!B:E,4,FALSE),""))</f>
        <v>133.5</v>
      </c>
      <c r="H7" t="e">
        <f t="shared" si="0"/>
        <v>#DIV/0!</v>
      </c>
    </row>
    <row r="8" spans="2:11">
      <c r="C8" s="25" t="s">
        <v>658</v>
      </c>
      <c r="D8" s="26">
        <v>5600413207666</v>
      </c>
      <c r="E8" s="25" t="s">
        <v>664</v>
      </c>
      <c r="F8" s="25">
        <v>25</v>
      </c>
      <c r="G8" s="16">
        <f>IF(C8&lt;&gt;"",VLOOKUP(C8,valores!A:E,5,FALSE),IF(D8&lt;&gt;"",VLOOKUP(D8,valores!B:E,4,FALSE),""))</f>
        <v>133.5</v>
      </c>
      <c r="H8" t="e">
        <f t="shared" si="0"/>
        <v>#DIV/0!</v>
      </c>
    </row>
    <row r="9" spans="2:11">
      <c r="C9" s="25"/>
      <c r="D9" s="26"/>
      <c r="E9" s="25"/>
      <c r="F9" s="25"/>
      <c r="G9" s="16" t="str">
        <f>IF(C9&lt;&gt;"",VLOOKUP(C9,valores!A:E,5,FALSE),IF(D9&lt;&gt;"",VLOOKUP(D9,valores!B:E,4,FALSE),""))</f>
        <v/>
      </c>
      <c r="H9" t="e">
        <f t="shared" si="0"/>
        <v>#VALUE!</v>
      </c>
    </row>
    <row r="10" spans="2:11">
      <c r="C10" s="25"/>
      <c r="D10" s="26"/>
      <c r="E10" s="25"/>
      <c r="F10" s="25"/>
      <c r="G10" s="16" t="str">
        <f>IF(C10&lt;&gt;"",VLOOKUP(C10,valores!A:E,5,FALSE),IF(D10&lt;&gt;"",VLOOKUP(D10,valores!B:E,4,FALSE),""))</f>
        <v/>
      </c>
      <c r="H10" t="e">
        <f t="shared" si="0"/>
        <v>#VALUE!</v>
      </c>
    </row>
    <row r="11" spans="2:11">
      <c r="C11" s="25"/>
      <c r="D11" s="26"/>
      <c r="E11" s="25"/>
      <c r="F11" s="25"/>
      <c r="G11" s="16" t="str">
        <f>IF(C11&lt;&gt;"",VLOOKUP(C11,valores!A:E,5,FALSE),IF(D11&lt;&gt;"",VLOOKUP(D11,valores!B:E,4,FALSE),""))</f>
        <v/>
      </c>
      <c r="H11" t="e">
        <f t="shared" si="0"/>
        <v>#VALUE!</v>
      </c>
    </row>
    <row r="12" spans="2:11">
      <c r="C12" s="25"/>
      <c r="D12" s="26"/>
      <c r="E12" s="25"/>
      <c r="F12" s="9"/>
      <c r="G12" s="16" t="str">
        <f>IF(C12&lt;&gt;"",VLOOKUP(C12,valores!A:E,5,FALSE),IF(D12&lt;&gt;"",VLOOKUP(D12,valores!B:E,4,FALSE),""))</f>
        <v/>
      </c>
      <c r="H12" t="e">
        <f t="shared" si="0"/>
        <v>#VALUE!</v>
      </c>
    </row>
    <row r="13" spans="2:11">
      <c r="G13" s="16"/>
    </row>
    <row r="14" spans="2:11">
      <c r="D14" s="9" t="s">
        <v>61</v>
      </c>
      <c r="E14" s="9"/>
    </row>
  </sheetData>
  <mergeCells count="1">
    <mergeCell ref="J2:K4"/>
  </mergeCells>
  <hyperlinks>
    <hyperlink ref="J2:K4" location="Fornecedores_Contentores!A1" display="INICIO" xr:uid="{8D37FDFE-9CDB-4B9C-8A7C-D9BF3A61492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D16A-2640-411A-B5A0-EE2982E1B718}">
  <dimension ref="B1:K14"/>
  <sheetViews>
    <sheetView workbookViewId="0">
      <selection activeCell="J2" sqref="J2:K4"/>
    </sheetView>
  </sheetViews>
  <sheetFormatPr defaultRowHeight="15"/>
  <cols>
    <col min="2" max="2" width="10.5703125" bestFit="1" customWidth="1"/>
    <col min="3" max="3" width="24" bestFit="1" customWidth="1"/>
    <col min="4" max="4" width="14.140625" bestFit="1" customWidth="1"/>
    <col min="5" max="5" width="61.85546875" bestFit="1" customWidth="1"/>
    <col min="6" max="6" width="8.140625" bestFit="1" customWidth="1"/>
  </cols>
  <sheetData>
    <row r="1" spans="2:11" ht="15.75" thickBot="1"/>
    <row r="2" spans="2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2:11">
      <c r="C3" s="25" t="s">
        <v>40</v>
      </c>
      <c r="D3" s="26" t="s">
        <v>71</v>
      </c>
      <c r="E3" s="25" t="s">
        <v>930</v>
      </c>
      <c r="F3" s="25">
        <v>16</v>
      </c>
      <c r="G3" s="16">
        <v>58</v>
      </c>
      <c r="H3" t="e">
        <f t="shared" ref="H3:H10" si="0">G3/$E$14</f>
        <v>#DIV/0!</v>
      </c>
      <c r="J3" s="166"/>
      <c r="K3" s="167"/>
    </row>
    <row r="4" spans="2:11" ht="15.75" thickBot="1">
      <c r="B4" s="53" t="s">
        <v>616</v>
      </c>
      <c r="C4" s="35" t="s">
        <v>638</v>
      </c>
      <c r="D4" s="36" t="s">
        <v>863</v>
      </c>
      <c r="E4" s="35" t="s">
        <v>864</v>
      </c>
      <c r="F4" s="35">
        <v>120</v>
      </c>
      <c r="G4" s="16">
        <v>28.5</v>
      </c>
      <c r="H4" t="e">
        <f t="shared" si="0"/>
        <v>#DIV/0!</v>
      </c>
      <c r="J4" s="168"/>
      <c r="K4" s="169"/>
    </row>
    <row r="5" spans="2:11">
      <c r="B5" s="53" t="s">
        <v>616</v>
      </c>
      <c r="C5" s="35" t="s">
        <v>639</v>
      </c>
      <c r="D5" s="36" t="s">
        <v>865</v>
      </c>
      <c r="E5" s="35" t="s">
        <v>866</v>
      </c>
      <c r="F5" s="35">
        <v>30</v>
      </c>
      <c r="G5" s="16">
        <v>31.5</v>
      </c>
      <c r="H5" t="e">
        <f t="shared" si="0"/>
        <v>#DIV/0!</v>
      </c>
    </row>
    <row r="6" spans="2:11">
      <c r="B6" s="53" t="s">
        <v>616</v>
      </c>
      <c r="C6" s="35" t="s">
        <v>640</v>
      </c>
      <c r="D6" s="36" t="s">
        <v>867</v>
      </c>
      <c r="E6" s="35" t="s">
        <v>868</v>
      </c>
      <c r="F6" s="35">
        <v>50</v>
      </c>
      <c r="G6" s="16">
        <v>31.5</v>
      </c>
      <c r="H6" t="e">
        <f t="shared" si="0"/>
        <v>#DIV/0!</v>
      </c>
    </row>
    <row r="7" spans="2:11">
      <c r="B7" s="53" t="s">
        <v>616</v>
      </c>
      <c r="C7" s="35" t="s">
        <v>641</v>
      </c>
      <c r="D7" s="36" t="s">
        <v>869</v>
      </c>
      <c r="E7" s="35" t="s">
        <v>870</v>
      </c>
      <c r="F7" s="35">
        <v>100</v>
      </c>
      <c r="G7" s="16">
        <v>31.5</v>
      </c>
      <c r="H7" t="e">
        <f t="shared" si="0"/>
        <v>#DIV/0!</v>
      </c>
    </row>
    <row r="8" spans="2:11">
      <c r="B8" s="53" t="s">
        <v>616</v>
      </c>
      <c r="C8" s="35" t="s">
        <v>642</v>
      </c>
      <c r="D8" s="36" t="s">
        <v>871</v>
      </c>
      <c r="E8" s="35" t="s">
        <v>872</v>
      </c>
      <c r="F8" s="35">
        <v>60</v>
      </c>
      <c r="G8" s="16">
        <v>31.5</v>
      </c>
      <c r="H8" t="e">
        <f t="shared" si="0"/>
        <v>#DIV/0!</v>
      </c>
    </row>
    <row r="9" spans="2:11">
      <c r="C9" s="25" t="s">
        <v>38</v>
      </c>
      <c r="D9" s="26" t="s">
        <v>66</v>
      </c>
      <c r="E9" s="25" t="s">
        <v>634</v>
      </c>
      <c r="F9" s="25">
        <v>50</v>
      </c>
      <c r="G9" s="16">
        <v>34.5</v>
      </c>
      <c r="H9" t="e">
        <f t="shared" si="0"/>
        <v>#DIV/0!</v>
      </c>
    </row>
    <row r="10" spans="2:11">
      <c r="C10" s="25" t="s">
        <v>643</v>
      </c>
      <c r="D10" s="26" t="s">
        <v>931</v>
      </c>
      <c r="E10" s="25" t="s">
        <v>644</v>
      </c>
      <c r="F10" s="25">
        <v>20</v>
      </c>
      <c r="G10" s="16">
        <v>58</v>
      </c>
      <c r="H10" t="e">
        <f t="shared" si="0"/>
        <v>#DIV/0!</v>
      </c>
    </row>
    <row r="11" spans="2:11">
      <c r="C11" s="25" t="s">
        <v>263</v>
      </c>
      <c r="D11" s="26" t="s">
        <v>561</v>
      </c>
      <c r="E11" s="25" t="s">
        <v>645</v>
      </c>
      <c r="F11" s="25">
        <v>50</v>
      </c>
      <c r="G11" s="16">
        <v>155</v>
      </c>
      <c r="H11" t="e">
        <f t="shared" ref="H11:H12" si="1">G11/$E$14</f>
        <v>#DIV/0!</v>
      </c>
    </row>
    <row r="12" spans="2:11">
      <c r="C12" s="9" t="s">
        <v>646</v>
      </c>
      <c r="D12" s="15" t="s">
        <v>647</v>
      </c>
      <c r="E12" s="9" t="s">
        <v>648</v>
      </c>
      <c r="F12" s="9">
        <v>200</v>
      </c>
      <c r="G12" s="16">
        <v>57.5</v>
      </c>
      <c r="H12" t="e">
        <f t="shared" si="1"/>
        <v>#DIV/0!</v>
      </c>
    </row>
    <row r="14" spans="2:11">
      <c r="D14" s="9" t="s">
        <v>61</v>
      </c>
      <c r="E14" s="9"/>
    </row>
  </sheetData>
  <mergeCells count="1">
    <mergeCell ref="J2:K4"/>
  </mergeCells>
  <hyperlinks>
    <hyperlink ref="J2:K4" location="Fornecedores_Contentores!A1" display="INICIO" xr:uid="{354C13EF-6BA3-4CB9-B96C-8C9CF0E2A619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DF9E-E3CF-4E2B-A395-DED3DC1DE0AC}">
  <dimension ref="A1:K9"/>
  <sheetViews>
    <sheetView workbookViewId="0">
      <selection activeCell="J2" sqref="J2:K4"/>
    </sheetView>
  </sheetViews>
  <sheetFormatPr defaultRowHeight="15"/>
  <cols>
    <col min="3" max="3" width="20.42578125" bestFit="1" customWidth="1"/>
    <col min="4" max="4" width="14.140625" bestFit="1" customWidth="1"/>
    <col min="5" max="5" width="66" bestFit="1" customWidth="1"/>
    <col min="6" max="6" width="8.140625" bestFit="1" customWidth="1"/>
  </cols>
  <sheetData>
    <row r="1" spans="1:11" ht="15.75" thickBot="1">
      <c r="A1" s="9"/>
    </row>
    <row r="2" spans="1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1:11">
      <c r="C3" s="25" t="s">
        <v>250</v>
      </c>
      <c r="D3" s="26">
        <v>5600413206409</v>
      </c>
      <c r="E3" s="25" t="s">
        <v>525</v>
      </c>
      <c r="F3" s="25">
        <v>50</v>
      </c>
      <c r="G3" s="16">
        <v>63</v>
      </c>
      <c r="H3" t="e">
        <f>G3/$E$9</f>
        <v>#DIV/0!</v>
      </c>
      <c r="J3" s="166"/>
      <c r="K3" s="167"/>
    </row>
    <row r="4" spans="1:11" ht="15.75" thickBot="1">
      <c r="C4" s="25" t="s">
        <v>38</v>
      </c>
      <c r="D4" s="26">
        <v>5600413206324</v>
      </c>
      <c r="E4" s="25" t="s">
        <v>634</v>
      </c>
      <c r="F4" s="25">
        <v>148</v>
      </c>
      <c r="G4" s="16">
        <v>34.5</v>
      </c>
      <c r="H4" t="e">
        <f>G4/$E$9</f>
        <v>#DIV/0!</v>
      </c>
      <c r="J4" s="168"/>
      <c r="K4" s="169"/>
    </row>
    <row r="5" spans="1:11">
      <c r="C5" s="25" t="s">
        <v>124</v>
      </c>
      <c r="D5" s="26">
        <v>5600413207741</v>
      </c>
      <c r="E5" s="25" t="s">
        <v>526</v>
      </c>
      <c r="F5" s="25">
        <v>100</v>
      </c>
      <c r="G5" s="16">
        <v>37.5</v>
      </c>
      <c r="H5" t="e">
        <f>G5/$E$9</f>
        <v>#DIV/0!</v>
      </c>
    </row>
    <row r="6" spans="1:11">
      <c r="C6" s="25" t="s">
        <v>45</v>
      </c>
      <c r="D6" s="26">
        <v>5600413206355</v>
      </c>
      <c r="E6" s="25" t="s">
        <v>327</v>
      </c>
      <c r="F6" s="25">
        <v>140</v>
      </c>
      <c r="G6" s="16">
        <v>98</v>
      </c>
      <c r="H6" t="e">
        <f>G6/$E$9</f>
        <v>#DIV/0!</v>
      </c>
    </row>
    <row r="7" spans="1:11">
      <c r="C7" s="25"/>
      <c r="D7" s="26"/>
      <c r="E7" s="25"/>
      <c r="F7" s="27"/>
      <c r="H7" t="e">
        <f>G7/$E$9</f>
        <v>#DIV/0!</v>
      </c>
    </row>
    <row r="9" spans="1:11">
      <c r="D9" s="9" t="s">
        <v>61</v>
      </c>
      <c r="E9" s="9"/>
    </row>
  </sheetData>
  <mergeCells count="1">
    <mergeCell ref="J2:K4"/>
  </mergeCells>
  <hyperlinks>
    <hyperlink ref="J2:K4" location="Fornecedores_Contentores!A1" display="INICIO" xr:uid="{FBEC6F4B-7816-40F1-B4A6-F1EB5CF9708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3980-2DE6-4012-86D3-D532768A6344}">
  <dimension ref="A1:K9"/>
  <sheetViews>
    <sheetView workbookViewId="0">
      <selection activeCell="O18" sqref="O18"/>
    </sheetView>
  </sheetViews>
  <sheetFormatPr defaultRowHeight="15"/>
  <cols>
    <col min="3" max="3" width="24" bestFit="1" customWidth="1"/>
    <col min="4" max="4" width="14.140625" bestFit="1" customWidth="1"/>
    <col min="5" max="5" width="66" bestFit="1" customWidth="1"/>
    <col min="6" max="6" width="8.140625" bestFit="1" customWidth="1"/>
  </cols>
  <sheetData>
    <row r="1" spans="1:11" ht="15.75" thickBot="1">
      <c r="A1" s="9"/>
    </row>
    <row r="2" spans="1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1:11">
      <c r="C3" s="25" t="s">
        <v>87</v>
      </c>
      <c r="D3" s="26" t="s">
        <v>621</v>
      </c>
      <c r="E3" s="25" t="s">
        <v>88</v>
      </c>
      <c r="F3" s="25">
        <v>180</v>
      </c>
      <c r="G3" s="16">
        <v>27</v>
      </c>
      <c r="H3" t="e">
        <f>G3/$E$9</f>
        <v>#DIV/0!</v>
      </c>
      <c r="J3" s="166"/>
      <c r="K3" s="167"/>
    </row>
    <row r="4" spans="1:11" ht="15.75" thickBot="1">
      <c r="C4" s="25" t="s">
        <v>85</v>
      </c>
      <c r="D4" s="26" t="s">
        <v>622</v>
      </c>
      <c r="E4" s="25" t="s">
        <v>86</v>
      </c>
      <c r="F4" s="25">
        <v>50</v>
      </c>
      <c r="G4" s="16">
        <v>38</v>
      </c>
      <c r="H4" t="e">
        <f>G4/$E$9</f>
        <v>#DIV/0!</v>
      </c>
      <c r="J4" s="168"/>
      <c r="K4" s="169"/>
    </row>
    <row r="5" spans="1:11">
      <c r="C5" s="25" t="s">
        <v>91</v>
      </c>
      <c r="D5" s="26" t="s">
        <v>623</v>
      </c>
      <c r="E5" s="25" t="s">
        <v>111</v>
      </c>
      <c r="F5" s="25">
        <v>150</v>
      </c>
      <c r="G5" s="16">
        <v>107</v>
      </c>
      <c r="H5" t="e">
        <f>G5/$E$9</f>
        <v>#DIV/0!</v>
      </c>
    </row>
    <row r="6" spans="1:11">
      <c r="C6" s="25" t="s">
        <v>624</v>
      </c>
      <c r="D6" s="26" t="s">
        <v>625</v>
      </c>
      <c r="E6" s="25" t="s">
        <v>626</v>
      </c>
      <c r="F6" s="25">
        <v>161</v>
      </c>
      <c r="G6" s="16">
        <v>124.6</v>
      </c>
      <c r="H6" t="e">
        <f>G6/$E$9</f>
        <v>#DIV/0!</v>
      </c>
    </row>
    <row r="7" spans="1:11">
      <c r="C7" s="25" t="s">
        <v>627</v>
      </c>
      <c r="D7" s="26" t="s">
        <v>628</v>
      </c>
      <c r="E7" s="25" t="s">
        <v>629</v>
      </c>
      <c r="F7" s="27">
        <v>100</v>
      </c>
      <c r="G7">
        <v>126.6</v>
      </c>
      <c r="H7" t="e">
        <f>G7/$E$9</f>
        <v>#DIV/0!</v>
      </c>
    </row>
    <row r="9" spans="1:11">
      <c r="D9" s="9" t="s">
        <v>61</v>
      </c>
      <c r="E9" s="9"/>
    </row>
  </sheetData>
  <mergeCells count="1">
    <mergeCell ref="J2:K4"/>
  </mergeCells>
  <hyperlinks>
    <hyperlink ref="J2:K4" location="Fornecedores_Contentores!A1" display="INICIO" xr:uid="{21EC1D5E-5790-436C-962D-407051CB7B2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E7CDE-B6BD-4799-89FF-3060929F96CE}">
  <dimension ref="A1:K18"/>
  <sheetViews>
    <sheetView workbookViewId="0">
      <selection activeCell="C1" sqref="C1:K1048576"/>
    </sheetView>
  </sheetViews>
  <sheetFormatPr defaultRowHeight="15"/>
  <cols>
    <col min="2" max="2" width="10.5703125" bestFit="1" customWidth="1"/>
    <col min="3" max="3" width="24" bestFit="1" customWidth="1"/>
    <col min="4" max="4" width="14.140625" bestFit="1" customWidth="1"/>
    <col min="5" max="5" width="61.85546875" bestFit="1" customWidth="1"/>
    <col min="6" max="6" width="8.140625" bestFit="1" customWidth="1"/>
  </cols>
  <sheetData>
    <row r="1" spans="1:11" ht="15.75" thickBot="1">
      <c r="A1" s="9"/>
    </row>
    <row r="2" spans="1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1:11">
      <c r="C3" s="25" t="s">
        <v>584</v>
      </c>
      <c r="D3" s="26" t="s">
        <v>585</v>
      </c>
      <c r="E3" s="25" t="s">
        <v>586</v>
      </c>
      <c r="F3" s="25">
        <v>1000</v>
      </c>
      <c r="G3" s="16">
        <v>9.4</v>
      </c>
      <c r="H3" t="e">
        <f>G3/$E$18</f>
        <v>#DIV/0!</v>
      </c>
      <c r="J3" s="166"/>
      <c r="K3" s="167"/>
    </row>
    <row r="4" spans="1:11" ht="15.75" thickBot="1">
      <c r="C4" s="25" t="s">
        <v>587</v>
      </c>
      <c r="D4" s="26" t="s">
        <v>588</v>
      </c>
      <c r="E4" s="25" t="s">
        <v>589</v>
      </c>
      <c r="F4" s="25">
        <v>1000</v>
      </c>
      <c r="G4" s="16">
        <v>11.9</v>
      </c>
      <c r="H4" t="e">
        <f>G4/$E$18</f>
        <v>#DIV/0!</v>
      </c>
      <c r="J4" s="168"/>
      <c r="K4" s="169"/>
    </row>
    <row r="5" spans="1:11">
      <c r="C5" s="25" t="s">
        <v>590</v>
      </c>
      <c r="D5" s="26" t="s">
        <v>591</v>
      </c>
      <c r="E5" s="25" t="s">
        <v>592</v>
      </c>
      <c r="F5" s="25">
        <v>1000</v>
      </c>
      <c r="G5" s="16">
        <v>10.4</v>
      </c>
      <c r="H5" t="e">
        <f>G5/$E$18</f>
        <v>#DIV/0!</v>
      </c>
    </row>
    <row r="6" spans="1:11">
      <c r="C6" s="9" t="s">
        <v>593</v>
      </c>
      <c r="D6" s="15" t="s">
        <v>594</v>
      </c>
      <c r="E6" s="9" t="s">
        <v>595</v>
      </c>
      <c r="F6" s="9">
        <v>1000</v>
      </c>
      <c r="G6" s="16">
        <v>12.6</v>
      </c>
      <c r="H6" t="e">
        <f t="shared" ref="H6:H16" si="0">G6/$E$18</f>
        <v>#DIV/0!</v>
      </c>
    </row>
    <row r="7" spans="1:11">
      <c r="B7" s="52" t="s">
        <v>616</v>
      </c>
      <c r="C7" s="48" t="s">
        <v>596</v>
      </c>
      <c r="D7" s="49">
        <v>5600413208182</v>
      </c>
      <c r="E7" s="48" t="s">
        <v>597</v>
      </c>
      <c r="F7" s="48">
        <v>1000</v>
      </c>
      <c r="G7" s="16">
        <v>11.9</v>
      </c>
      <c r="H7" t="e">
        <f t="shared" si="0"/>
        <v>#DIV/0!</v>
      </c>
    </row>
    <row r="8" spans="1:11">
      <c r="B8" s="52" t="s">
        <v>616</v>
      </c>
      <c r="C8" s="48" t="s">
        <v>598</v>
      </c>
      <c r="D8" s="49">
        <v>5600413208175</v>
      </c>
      <c r="E8" s="48" t="s">
        <v>599</v>
      </c>
      <c r="F8" s="48">
        <v>1000</v>
      </c>
      <c r="G8" s="16">
        <v>12.8</v>
      </c>
      <c r="H8" t="e">
        <f t="shared" si="0"/>
        <v>#DIV/0!</v>
      </c>
    </row>
    <row r="9" spans="1:11">
      <c r="C9" s="9" t="s">
        <v>600</v>
      </c>
      <c r="D9" s="15" t="s">
        <v>601</v>
      </c>
      <c r="E9" s="9" t="s">
        <v>602</v>
      </c>
      <c r="F9" s="9">
        <v>1500</v>
      </c>
      <c r="G9" s="16">
        <v>12.4</v>
      </c>
      <c r="H9" t="e">
        <f t="shared" si="0"/>
        <v>#DIV/0!</v>
      </c>
    </row>
    <row r="10" spans="1:11">
      <c r="C10" s="9" t="s">
        <v>603</v>
      </c>
      <c r="D10" s="15" t="s">
        <v>604</v>
      </c>
      <c r="E10" s="9" t="s">
        <v>605</v>
      </c>
      <c r="F10" s="9">
        <v>1000</v>
      </c>
      <c r="G10" s="16">
        <v>12.7</v>
      </c>
      <c r="H10" t="e">
        <f t="shared" si="0"/>
        <v>#DIV/0!</v>
      </c>
    </row>
    <row r="11" spans="1:11">
      <c r="B11" s="52" t="s">
        <v>616</v>
      </c>
      <c r="C11" s="48" t="s">
        <v>606</v>
      </c>
      <c r="D11" s="49">
        <v>5600413208281</v>
      </c>
      <c r="E11" s="48" t="s">
        <v>607</v>
      </c>
      <c r="F11" s="48">
        <v>1000</v>
      </c>
      <c r="G11" s="16">
        <v>8.1999999999999993</v>
      </c>
      <c r="H11" t="e">
        <f t="shared" si="0"/>
        <v>#DIV/0!</v>
      </c>
    </row>
    <row r="12" spans="1:11">
      <c r="B12" s="52" t="s">
        <v>616</v>
      </c>
      <c r="C12" s="48" t="s">
        <v>608</v>
      </c>
      <c r="D12" s="49">
        <v>5600413208274</v>
      </c>
      <c r="E12" s="48" t="s">
        <v>609</v>
      </c>
      <c r="F12" s="48">
        <v>1000</v>
      </c>
      <c r="G12" s="16">
        <v>8.6</v>
      </c>
      <c r="H12" t="e">
        <f t="shared" si="0"/>
        <v>#DIV/0!</v>
      </c>
    </row>
    <row r="13" spans="1:11">
      <c r="B13" s="52" t="s">
        <v>616</v>
      </c>
      <c r="C13" s="48" t="s">
        <v>610</v>
      </c>
      <c r="D13" s="49">
        <v>5600413208472</v>
      </c>
      <c r="E13" s="48" t="s">
        <v>611</v>
      </c>
      <c r="F13" s="48">
        <v>1000</v>
      </c>
      <c r="G13" s="16">
        <v>12.7</v>
      </c>
      <c r="H13" t="e">
        <f t="shared" si="0"/>
        <v>#DIV/0!</v>
      </c>
    </row>
    <row r="14" spans="1:11">
      <c r="B14" s="52" t="s">
        <v>616</v>
      </c>
      <c r="C14" s="48" t="s">
        <v>612</v>
      </c>
      <c r="D14" s="49">
        <v>5600413208496</v>
      </c>
      <c r="E14" s="48" t="s">
        <v>613</v>
      </c>
      <c r="F14" s="48">
        <v>500</v>
      </c>
      <c r="G14" s="16">
        <v>12.5</v>
      </c>
      <c r="H14" t="e">
        <f t="shared" si="0"/>
        <v>#DIV/0!</v>
      </c>
    </row>
    <row r="15" spans="1:11">
      <c r="B15" s="52" t="s">
        <v>616</v>
      </c>
      <c r="C15" s="50" t="s">
        <v>614</v>
      </c>
      <c r="D15" s="51">
        <v>5600413208489</v>
      </c>
      <c r="E15" s="50" t="s">
        <v>615</v>
      </c>
      <c r="F15" s="50">
        <v>1000</v>
      </c>
      <c r="G15" s="16">
        <v>8.3000000000000007</v>
      </c>
      <c r="H15" t="e">
        <f t="shared" si="0"/>
        <v>#DIV/0!</v>
      </c>
    </row>
    <row r="16" spans="1:11">
      <c r="C16" s="25" t="s">
        <v>402</v>
      </c>
      <c r="D16" s="26" t="s">
        <v>403</v>
      </c>
      <c r="E16" s="25" t="s">
        <v>404</v>
      </c>
      <c r="F16" s="27">
        <v>120</v>
      </c>
      <c r="G16" s="16">
        <v>12.46</v>
      </c>
      <c r="H16" t="e">
        <f t="shared" si="0"/>
        <v>#DIV/0!</v>
      </c>
    </row>
    <row r="18" spans="4:5">
      <c r="D18" s="9" t="s">
        <v>61</v>
      </c>
      <c r="E18" s="9"/>
    </row>
  </sheetData>
  <mergeCells count="1">
    <mergeCell ref="J2:K4"/>
  </mergeCells>
  <hyperlinks>
    <hyperlink ref="J2:K4" location="Fornecedores_Contentores!A1" display="INICIO" xr:uid="{874A89A6-B42E-4195-8708-37A8F9BCA88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6980-99F6-476A-9DBF-207E28D2B74C}">
  <dimension ref="A1:K9"/>
  <sheetViews>
    <sheetView workbookViewId="0">
      <selection sqref="A1:K12"/>
    </sheetView>
  </sheetViews>
  <sheetFormatPr defaultRowHeight="15"/>
  <cols>
    <col min="3" max="3" width="24" bestFit="1" customWidth="1"/>
    <col min="4" max="4" width="14.140625" bestFit="1" customWidth="1"/>
    <col min="5" max="5" width="38.28515625" bestFit="1" customWidth="1"/>
    <col min="6" max="6" width="8.140625" bestFit="1" customWidth="1"/>
  </cols>
  <sheetData>
    <row r="1" spans="1:11" ht="15.75" thickBot="1">
      <c r="A1" s="9"/>
    </row>
    <row r="2" spans="1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1:11">
      <c r="C3" s="25" t="s">
        <v>134</v>
      </c>
      <c r="D3" s="26" t="s">
        <v>137</v>
      </c>
      <c r="E3" s="25" t="s">
        <v>138</v>
      </c>
      <c r="F3" s="25">
        <v>260</v>
      </c>
      <c r="G3" s="16">
        <v>69.010000000000005</v>
      </c>
      <c r="H3" t="e">
        <f>G3/$E$9</f>
        <v>#DIV/0!</v>
      </c>
      <c r="J3" s="166"/>
      <c r="K3" s="167"/>
    </row>
    <row r="4" spans="1:11" ht="15.75" thickBot="1">
      <c r="C4" s="25" t="s">
        <v>566</v>
      </c>
      <c r="D4" s="26" t="s">
        <v>567</v>
      </c>
      <c r="E4" s="25" t="s">
        <v>568</v>
      </c>
      <c r="F4" s="25">
        <v>60</v>
      </c>
      <c r="G4" s="16">
        <v>92.26</v>
      </c>
      <c r="H4" t="e">
        <f>G4/$E$9</f>
        <v>#DIV/0!</v>
      </c>
      <c r="J4" s="168"/>
      <c r="K4" s="169"/>
    </row>
    <row r="5" spans="1:11">
      <c r="C5" s="25"/>
      <c r="D5" s="26"/>
      <c r="E5" s="25"/>
      <c r="F5" s="25"/>
      <c r="G5" s="16"/>
      <c r="H5" t="e">
        <f>G5/$E$9</f>
        <v>#DIV/0!</v>
      </c>
    </row>
    <row r="6" spans="1:11">
      <c r="C6" s="25"/>
      <c r="D6" s="26"/>
      <c r="E6" s="25"/>
      <c r="F6" s="25"/>
      <c r="G6" s="16"/>
      <c r="H6" t="e">
        <f>G6/$E$9</f>
        <v>#DIV/0!</v>
      </c>
    </row>
    <row r="7" spans="1:11">
      <c r="C7" s="25"/>
      <c r="D7" s="26"/>
      <c r="E7" s="25"/>
      <c r="F7" s="27"/>
    </row>
    <row r="9" spans="1:11">
      <c r="D9" s="9" t="s">
        <v>61</v>
      </c>
      <c r="E9" s="9"/>
    </row>
  </sheetData>
  <mergeCells count="1">
    <mergeCell ref="J2:K4"/>
  </mergeCells>
  <hyperlinks>
    <hyperlink ref="J2:K4" location="Fornecedores_Contentores!A1" display="INICIO" xr:uid="{74CE84DE-5D91-451B-BD35-AE02F0E572E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A09B5-CA79-4639-BF8E-E9E8191CADF6}">
  <dimension ref="A1:K9"/>
  <sheetViews>
    <sheetView workbookViewId="0">
      <selection activeCell="E20" sqref="E20"/>
    </sheetView>
  </sheetViews>
  <sheetFormatPr defaultRowHeight="15"/>
  <cols>
    <col min="3" max="3" width="24" bestFit="1" customWidth="1"/>
    <col min="4" max="4" width="14.140625" bestFit="1" customWidth="1"/>
    <col min="5" max="5" width="43.42578125" bestFit="1" customWidth="1"/>
    <col min="6" max="6" width="8.140625" bestFit="1" customWidth="1"/>
  </cols>
  <sheetData>
    <row r="1" spans="1:11" ht="15.75" thickBot="1">
      <c r="A1" s="9"/>
    </row>
    <row r="2" spans="1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1:11">
      <c r="C3" s="25" t="s">
        <v>283</v>
      </c>
      <c r="D3" s="26" t="s">
        <v>284</v>
      </c>
      <c r="E3" s="25" t="s">
        <v>285</v>
      </c>
      <c r="F3" s="25">
        <v>70</v>
      </c>
      <c r="G3" s="16">
        <v>84.42</v>
      </c>
      <c r="H3" t="e">
        <f>G3/$E$9</f>
        <v>#DIV/0!</v>
      </c>
      <c r="J3" s="166"/>
      <c r="K3" s="167"/>
    </row>
    <row r="4" spans="1:11" ht="15.75" thickBot="1">
      <c r="C4" s="25" t="s">
        <v>21</v>
      </c>
      <c r="D4" s="26" t="s">
        <v>50</v>
      </c>
      <c r="E4" s="25" t="s">
        <v>22</v>
      </c>
      <c r="F4" s="25">
        <v>310</v>
      </c>
      <c r="G4" s="16">
        <v>71.64</v>
      </c>
      <c r="H4" t="e">
        <f>G4/$E$9</f>
        <v>#DIV/0!</v>
      </c>
      <c r="J4" s="168"/>
      <c r="K4" s="169"/>
    </row>
    <row r="5" spans="1:11">
      <c r="C5" s="25"/>
      <c r="D5" s="26"/>
      <c r="E5" s="25"/>
      <c r="F5" s="25"/>
      <c r="G5" s="16"/>
      <c r="H5" t="e">
        <f>G5/$E$9</f>
        <v>#DIV/0!</v>
      </c>
    </row>
    <row r="6" spans="1:11">
      <c r="C6" s="25"/>
      <c r="D6" s="26"/>
      <c r="E6" s="25"/>
      <c r="F6" s="25"/>
      <c r="G6" s="16"/>
      <c r="H6" t="e">
        <f>G6/$E$9</f>
        <v>#DIV/0!</v>
      </c>
    </row>
    <row r="7" spans="1:11">
      <c r="C7" s="25"/>
      <c r="D7" s="26"/>
      <c r="E7" s="25"/>
      <c r="F7" s="27"/>
    </row>
    <row r="9" spans="1:11">
      <c r="D9" s="9" t="s">
        <v>61</v>
      </c>
      <c r="E9" s="9"/>
    </row>
  </sheetData>
  <mergeCells count="1">
    <mergeCell ref="J2:K4"/>
  </mergeCells>
  <hyperlinks>
    <hyperlink ref="J2:K4" location="Fornecedores_Contentores!A1" display="INICIO" xr:uid="{FACABD4D-E81A-42AD-A350-997FCC59E6B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570BB-24FE-4131-BF94-7954B4CABC2B}">
  <sheetPr codeName="Folha3"/>
  <dimension ref="A1:K9"/>
  <sheetViews>
    <sheetView workbookViewId="0">
      <selection activeCell="J2" sqref="J2:K4"/>
    </sheetView>
  </sheetViews>
  <sheetFormatPr defaultRowHeight="15"/>
  <cols>
    <col min="3" max="3" width="24" bestFit="1" customWidth="1"/>
    <col min="4" max="4" width="14.140625" bestFit="1" customWidth="1"/>
    <col min="5" max="5" width="43.42578125" bestFit="1" customWidth="1"/>
    <col min="6" max="6" width="8.140625" bestFit="1" customWidth="1"/>
  </cols>
  <sheetData>
    <row r="1" spans="1:11" ht="15.75" thickBot="1">
      <c r="A1" s="9"/>
    </row>
    <row r="2" spans="1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1:11">
      <c r="C3" s="25" t="s">
        <v>134</v>
      </c>
      <c r="D3" s="26" t="s">
        <v>137</v>
      </c>
      <c r="E3" s="25" t="s">
        <v>138</v>
      </c>
      <c r="F3" s="25">
        <v>80</v>
      </c>
      <c r="G3" s="16">
        <v>69.010000000000005</v>
      </c>
      <c r="H3">
        <f>G3/$E$9</f>
        <v>59.286941580756022</v>
      </c>
      <c r="J3" s="166"/>
      <c r="K3" s="167"/>
    </row>
    <row r="4" spans="1:11" ht="15.75" thickBot="1">
      <c r="C4" s="25" t="s">
        <v>64</v>
      </c>
      <c r="D4" s="26" t="s">
        <v>122</v>
      </c>
      <c r="E4" s="25" t="s">
        <v>65</v>
      </c>
      <c r="F4" s="25">
        <v>90</v>
      </c>
      <c r="G4" s="16">
        <v>69.010000000000005</v>
      </c>
      <c r="H4">
        <f>G4/$E$9</f>
        <v>59.286941580756022</v>
      </c>
      <c r="J4" s="168"/>
      <c r="K4" s="169"/>
    </row>
    <row r="5" spans="1:11">
      <c r="C5" s="25" t="s">
        <v>566</v>
      </c>
      <c r="D5" s="26" t="s">
        <v>567</v>
      </c>
      <c r="E5" s="25" t="s">
        <v>568</v>
      </c>
      <c r="F5" s="25">
        <v>100</v>
      </c>
      <c r="G5" s="16">
        <v>92.26</v>
      </c>
      <c r="H5">
        <f>G5/$E$9</f>
        <v>79.261168384879738</v>
      </c>
    </row>
    <row r="6" spans="1:11">
      <c r="C6" s="25"/>
      <c r="D6" s="26"/>
      <c r="E6" s="25"/>
      <c r="F6" s="25"/>
      <c r="G6" s="16"/>
      <c r="H6">
        <f>G6/$E$9</f>
        <v>0</v>
      </c>
    </row>
    <row r="7" spans="1:11">
      <c r="C7" s="25"/>
      <c r="D7" s="26"/>
      <c r="E7" s="25"/>
      <c r="F7" s="27"/>
    </row>
    <row r="9" spans="1:11">
      <c r="D9" s="9" t="s">
        <v>61</v>
      </c>
      <c r="E9" s="9">
        <v>1.1639999999999999</v>
      </c>
    </row>
  </sheetData>
  <mergeCells count="1">
    <mergeCell ref="J2:K4"/>
  </mergeCells>
  <hyperlinks>
    <hyperlink ref="J2:K4" location="Fornecedores_Contentores!A1" display="INICIO" xr:uid="{E72CB177-2F51-4539-9334-931B5AA0A51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76EA2-F6A6-46C2-ADFA-F383CF2C3113}">
  <sheetPr codeName="Folha4"/>
  <dimension ref="A1:K9"/>
  <sheetViews>
    <sheetView workbookViewId="0">
      <selection activeCell="J2" sqref="J2:K4"/>
    </sheetView>
  </sheetViews>
  <sheetFormatPr defaultRowHeight="15"/>
  <cols>
    <col min="3" max="3" width="22.28515625" bestFit="1" customWidth="1"/>
    <col min="4" max="4" width="16.28515625" customWidth="1"/>
    <col min="5" max="5" width="45.5703125" bestFit="1" customWidth="1"/>
    <col min="6" max="6" width="9.28515625" customWidth="1"/>
    <col min="7" max="7" width="5.5703125" bestFit="1" customWidth="1"/>
    <col min="8" max="8" width="7.7109375" bestFit="1" customWidth="1"/>
  </cols>
  <sheetData>
    <row r="1" spans="1:11" ht="15.75" thickBot="1">
      <c r="A1" s="9"/>
    </row>
    <row r="2" spans="1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1:11" ht="15" customHeight="1">
      <c r="C3" s="25" t="s">
        <v>283</v>
      </c>
      <c r="D3" s="26" t="s">
        <v>284</v>
      </c>
      <c r="E3" s="25" t="s">
        <v>285</v>
      </c>
      <c r="F3" s="25">
        <v>308</v>
      </c>
      <c r="G3" s="16">
        <v>84.42</v>
      </c>
      <c r="H3">
        <f>G3/$E$9</f>
        <v>72.525773195876297</v>
      </c>
      <c r="J3" s="166"/>
      <c r="K3" s="167"/>
    </row>
    <row r="4" spans="1:11" ht="15" customHeight="1" thickBot="1">
      <c r="C4" s="25" t="s">
        <v>564</v>
      </c>
      <c r="D4" s="26">
        <v>5600413205006</v>
      </c>
      <c r="E4" s="25" t="s">
        <v>565</v>
      </c>
      <c r="F4" s="25">
        <v>24</v>
      </c>
      <c r="G4" s="16">
        <v>84.42</v>
      </c>
      <c r="H4">
        <f>G4/$E$9</f>
        <v>72.525773195876297</v>
      </c>
      <c r="J4" s="168"/>
      <c r="K4" s="169"/>
    </row>
    <row r="5" spans="1:11" ht="15" customHeight="1">
      <c r="C5" s="25" t="s">
        <v>291</v>
      </c>
      <c r="D5" s="26">
        <v>5600413205013</v>
      </c>
      <c r="E5" s="25" t="s">
        <v>293</v>
      </c>
      <c r="F5" s="25">
        <v>10</v>
      </c>
      <c r="G5" s="16">
        <v>84.42</v>
      </c>
      <c r="H5">
        <f>G5/$E$9</f>
        <v>72.525773195876297</v>
      </c>
    </row>
    <row r="6" spans="1:11" ht="15" customHeight="1">
      <c r="C6" s="25" t="s">
        <v>294</v>
      </c>
      <c r="D6" s="26">
        <v>5600413205020</v>
      </c>
      <c r="E6" s="25" t="s">
        <v>296</v>
      </c>
      <c r="F6" s="25">
        <v>15</v>
      </c>
      <c r="G6" s="16">
        <v>84.42</v>
      </c>
      <c r="H6">
        <f>G6/$E$9</f>
        <v>72.525773195876297</v>
      </c>
    </row>
    <row r="7" spans="1:11">
      <c r="C7" s="25"/>
      <c r="D7" s="26"/>
      <c r="E7" s="25"/>
      <c r="F7" s="27"/>
    </row>
    <row r="9" spans="1:11">
      <c r="D9" s="9" t="s">
        <v>61</v>
      </c>
      <c r="E9" s="9">
        <v>1.1639999999999999</v>
      </c>
    </row>
  </sheetData>
  <mergeCells count="1">
    <mergeCell ref="J2:K4"/>
  </mergeCells>
  <hyperlinks>
    <hyperlink ref="J2:K4" location="Fornecedores_Contentores!A1" display="INICIO" xr:uid="{040E512A-EBB3-45D3-93B8-893893C0BC8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B93A-A69C-4FE9-9EB2-184ECD1D2993}">
  <sheetPr codeName="Folha5"/>
  <dimension ref="A1:K11"/>
  <sheetViews>
    <sheetView workbookViewId="0">
      <selection activeCell="J2" sqref="J2:K4"/>
    </sheetView>
  </sheetViews>
  <sheetFormatPr defaultRowHeight="15"/>
  <cols>
    <col min="3" max="3" width="27.85546875" customWidth="1"/>
    <col min="4" max="4" width="14.140625" bestFit="1" customWidth="1"/>
    <col min="5" max="5" width="35.5703125" bestFit="1" customWidth="1"/>
    <col min="6" max="6" width="8.140625" bestFit="1" customWidth="1"/>
  </cols>
  <sheetData>
    <row r="1" spans="1:11" ht="15.75" thickBot="1">
      <c r="A1" s="9"/>
    </row>
    <row r="2" spans="1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1:11" ht="18" customHeight="1">
      <c r="C3" s="27" t="s">
        <v>64</v>
      </c>
      <c r="D3" s="27" t="s">
        <v>122</v>
      </c>
      <c r="E3" s="27" t="s">
        <v>65</v>
      </c>
      <c r="F3" s="27">
        <v>295</v>
      </c>
      <c r="G3" s="16">
        <v>69.010000000000005</v>
      </c>
      <c r="H3">
        <f t="shared" ref="H3:H8" si="0">G3/$E$11</f>
        <v>59.286941580756022</v>
      </c>
      <c r="J3" s="166"/>
      <c r="K3" s="167"/>
    </row>
    <row r="4" spans="1:11" ht="15.75" thickBot="1">
      <c r="C4" s="27" t="s">
        <v>297</v>
      </c>
      <c r="D4" s="27" t="s">
        <v>298</v>
      </c>
      <c r="E4" s="27" t="s">
        <v>299</v>
      </c>
      <c r="F4" s="27">
        <v>95</v>
      </c>
      <c r="G4" s="16">
        <v>67.39</v>
      </c>
      <c r="H4">
        <f t="shared" si="0"/>
        <v>57.895189003436428</v>
      </c>
      <c r="J4" s="168"/>
      <c r="K4" s="169"/>
    </row>
    <row r="5" spans="1:11">
      <c r="C5" s="27"/>
      <c r="D5" s="27"/>
      <c r="E5" s="27"/>
      <c r="F5" s="27"/>
      <c r="G5" s="16"/>
      <c r="H5">
        <f t="shared" si="0"/>
        <v>0</v>
      </c>
    </row>
    <row r="6" spans="1:11">
      <c r="C6" s="25"/>
      <c r="D6" s="26"/>
      <c r="E6" s="25"/>
      <c r="F6" s="27"/>
      <c r="G6" s="16"/>
      <c r="H6">
        <f t="shared" si="0"/>
        <v>0</v>
      </c>
    </row>
    <row r="7" spans="1:11">
      <c r="C7" s="25"/>
      <c r="D7" s="26"/>
      <c r="E7" s="25"/>
      <c r="F7" s="27"/>
      <c r="G7" s="16"/>
      <c r="H7">
        <f t="shared" si="0"/>
        <v>0</v>
      </c>
    </row>
    <row r="8" spans="1:11">
      <c r="C8" s="25"/>
      <c r="D8" s="26"/>
      <c r="E8" s="25"/>
      <c r="F8" s="27"/>
      <c r="G8" s="16"/>
      <c r="H8">
        <f t="shared" si="0"/>
        <v>0</v>
      </c>
    </row>
    <row r="9" spans="1:11">
      <c r="C9" s="25"/>
      <c r="D9" s="26"/>
      <c r="E9" s="25"/>
      <c r="F9" s="27"/>
    </row>
    <row r="11" spans="1:11">
      <c r="D11" s="9" t="s">
        <v>61</v>
      </c>
      <c r="E11" s="9">
        <v>1.1639999999999999</v>
      </c>
    </row>
  </sheetData>
  <mergeCells count="1">
    <mergeCell ref="J2:K4"/>
  </mergeCells>
  <hyperlinks>
    <hyperlink ref="J2:K4" location="Fornecedores_Contentores!A1" display="INICIO" xr:uid="{40666E7C-9995-45FA-9A8E-AFFE6AC8E34F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FDC59-77E1-44EE-8ACD-2C8F0EF60429}">
  <sheetPr codeName="Folha6"/>
  <dimension ref="A1:K11"/>
  <sheetViews>
    <sheetView workbookViewId="0">
      <selection activeCell="J2" sqref="J2:K4"/>
    </sheetView>
  </sheetViews>
  <sheetFormatPr defaultRowHeight="15"/>
  <cols>
    <col min="3" max="3" width="15.7109375" bestFit="1" customWidth="1"/>
    <col min="4" max="4" width="14.140625" bestFit="1" customWidth="1"/>
    <col min="5" max="5" width="37" bestFit="1" customWidth="1"/>
    <col min="6" max="6" width="8.140625" bestFit="1" customWidth="1"/>
  </cols>
  <sheetData>
    <row r="1" spans="1:11" ht="15.75" thickBot="1">
      <c r="A1" s="9"/>
    </row>
    <row r="2" spans="1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1:11">
      <c r="C3" s="25" t="s">
        <v>114</v>
      </c>
      <c r="D3" s="26">
        <v>5600413205747</v>
      </c>
      <c r="E3" s="25" t="s">
        <v>115</v>
      </c>
      <c r="F3" s="27">
        <v>415</v>
      </c>
      <c r="G3" s="16">
        <v>43.12</v>
      </c>
      <c r="H3">
        <f t="shared" ref="H3:H8" si="0">G3/$E$11</f>
        <v>37.044673539518904</v>
      </c>
      <c r="J3" s="166"/>
      <c r="K3" s="167"/>
    </row>
    <row r="4" spans="1:11" ht="15.75" thickBot="1">
      <c r="C4" s="25"/>
      <c r="D4" s="26"/>
      <c r="E4" s="25"/>
      <c r="F4" s="27"/>
      <c r="G4" s="16"/>
      <c r="H4">
        <f t="shared" si="0"/>
        <v>0</v>
      </c>
      <c r="J4" s="168"/>
      <c r="K4" s="169"/>
    </row>
    <row r="5" spans="1:11">
      <c r="C5" s="25"/>
      <c r="D5" s="26"/>
      <c r="E5" s="25"/>
      <c r="F5" s="27"/>
      <c r="G5" s="16"/>
      <c r="H5">
        <f t="shared" si="0"/>
        <v>0</v>
      </c>
    </row>
    <row r="6" spans="1:11">
      <c r="C6" s="25"/>
      <c r="D6" s="26"/>
      <c r="E6" s="25"/>
      <c r="F6" s="27"/>
      <c r="G6" s="16"/>
      <c r="H6">
        <f t="shared" si="0"/>
        <v>0</v>
      </c>
    </row>
    <row r="7" spans="1:11">
      <c r="C7" s="25"/>
      <c r="D7" s="26"/>
      <c r="E7" s="25"/>
      <c r="F7" s="27"/>
      <c r="G7" s="16"/>
      <c r="H7">
        <f t="shared" si="0"/>
        <v>0</v>
      </c>
    </row>
    <row r="8" spans="1:11">
      <c r="C8" s="25"/>
      <c r="D8" s="26"/>
      <c r="E8" s="25"/>
      <c r="F8" s="27"/>
      <c r="G8" s="16"/>
      <c r="H8">
        <f t="shared" si="0"/>
        <v>0</v>
      </c>
    </row>
    <row r="9" spans="1:11">
      <c r="C9" s="25"/>
      <c r="D9" s="26"/>
      <c r="E9" s="25"/>
      <c r="F9" s="27"/>
    </row>
    <row r="11" spans="1:11">
      <c r="D11" s="9" t="s">
        <v>61</v>
      </c>
      <c r="E11" s="9">
        <v>1.1639999999999999</v>
      </c>
    </row>
  </sheetData>
  <mergeCells count="1">
    <mergeCell ref="J2:K4"/>
  </mergeCells>
  <hyperlinks>
    <hyperlink ref="J2:K4" location="Fornecedores_Contentores!A1" display="INICIO" xr:uid="{E58503B6-5B0E-440C-826F-35769FCED52E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CDA4-01FC-43E9-92FB-D2376E5E464C}">
  <sheetPr codeName="Folha7"/>
  <dimension ref="A1:K11"/>
  <sheetViews>
    <sheetView workbookViewId="0">
      <selection activeCell="J2" sqref="J2:K4"/>
    </sheetView>
  </sheetViews>
  <sheetFormatPr defaultRowHeight="15"/>
  <cols>
    <col min="3" max="3" width="16.28515625" bestFit="1" customWidth="1"/>
    <col min="4" max="4" width="14.140625" bestFit="1" customWidth="1"/>
    <col min="5" max="5" width="37" bestFit="1" customWidth="1"/>
    <col min="6" max="6" width="8.140625" bestFit="1" customWidth="1"/>
  </cols>
  <sheetData>
    <row r="1" spans="1:11" ht="15.75" thickBot="1">
      <c r="A1" s="9"/>
    </row>
    <row r="2" spans="1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1:11">
      <c r="C3" s="25" t="s">
        <v>245</v>
      </c>
      <c r="D3" s="26">
        <v>5600413204054</v>
      </c>
      <c r="E3" s="25" t="s">
        <v>300</v>
      </c>
      <c r="F3" s="27">
        <v>357</v>
      </c>
      <c r="G3" s="16">
        <v>84.42</v>
      </c>
      <c r="H3">
        <f t="shared" ref="H3:H8" si="0">G3/$E$11</f>
        <v>72.525773195876297</v>
      </c>
      <c r="J3" s="166"/>
      <c r="K3" s="167"/>
    </row>
    <row r="4" spans="1:11" ht="15.75" thickBot="1">
      <c r="C4" s="25"/>
      <c r="D4" s="26"/>
      <c r="E4" s="25"/>
      <c r="F4" s="27"/>
      <c r="G4" s="16"/>
      <c r="H4">
        <f t="shared" si="0"/>
        <v>0</v>
      </c>
      <c r="J4" s="168"/>
      <c r="K4" s="169"/>
    </row>
    <row r="5" spans="1:11">
      <c r="C5" s="25"/>
      <c r="D5" s="26"/>
      <c r="E5" s="25"/>
      <c r="F5" s="27"/>
      <c r="G5" s="16"/>
      <c r="H5">
        <f t="shared" si="0"/>
        <v>0</v>
      </c>
    </row>
    <row r="6" spans="1:11">
      <c r="C6" s="25"/>
      <c r="D6" s="26"/>
      <c r="E6" s="25"/>
      <c r="F6" s="27"/>
      <c r="G6" s="16"/>
      <c r="H6">
        <f t="shared" si="0"/>
        <v>0</v>
      </c>
    </row>
    <row r="7" spans="1:11">
      <c r="C7" s="25"/>
      <c r="D7" s="26"/>
      <c r="E7" s="25"/>
      <c r="F7" s="27"/>
      <c r="G7" s="16"/>
      <c r="H7">
        <f t="shared" si="0"/>
        <v>0</v>
      </c>
    </row>
    <row r="8" spans="1:11">
      <c r="C8" s="25"/>
      <c r="D8" s="26"/>
      <c r="E8" s="25"/>
      <c r="F8" s="27"/>
      <c r="G8" s="16"/>
      <c r="H8">
        <f t="shared" si="0"/>
        <v>0</v>
      </c>
    </row>
    <row r="9" spans="1:11">
      <c r="C9" s="25"/>
      <c r="D9" s="26"/>
      <c r="E9" s="25"/>
      <c r="F9" s="27"/>
    </row>
    <row r="11" spans="1:11">
      <c r="D11" s="9" t="s">
        <v>61</v>
      </c>
      <c r="E11" s="9">
        <v>1.1639999999999999</v>
      </c>
    </row>
  </sheetData>
  <mergeCells count="1">
    <mergeCell ref="J2:K4"/>
  </mergeCells>
  <hyperlinks>
    <hyperlink ref="J2:K4" location="Fornecedores_Contentores!A1" display="INICIO" xr:uid="{395F767B-0743-45A1-8F43-F236C77472C5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ADEB-B1B2-430E-BF4E-C27FB0845C93}">
  <sheetPr codeName="Folha8"/>
  <dimension ref="A1:K11"/>
  <sheetViews>
    <sheetView workbookViewId="0">
      <selection activeCell="J2" sqref="J2:K4"/>
    </sheetView>
  </sheetViews>
  <sheetFormatPr defaultRowHeight="15"/>
  <cols>
    <col min="3" max="3" width="20.42578125" bestFit="1" customWidth="1"/>
    <col min="4" max="4" width="14.140625" bestFit="1" customWidth="1"/>
    <col min="5" max="5" width="37.7109375" bestFit="1" customWidth="1"/>
    <col min="6" max="6" width="8.140625" bestFit="1" customWidth="1"/>
  </cols>
  <sheetData>
    <row r="1" spans="1:11" ht="15.75" thickBot="1">
      <c r="A1" s="9"/>
    </row>
    <row r="2" spans="1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1:11">
      <c r="C3" s="25" t="s">
        <v>259</v>
      </c>
      <c r="D3" s="26" t="s">
        <v>558</v>
      </c>
      <c r="E3" s="25" t="s">
        <v>258</v>
      </c>
      <c r="F3" s="27">
        <v>50</v>
      </c>
      <c r="G3" s="16">
        <v>143</v>
      </c>
      <c r="H3">
        <f t="shared" ref="H3:H8" si="0">G3/$E$11</f>
        <v>122.85223367697596</v>
      </c>
      <c r="J3" s="166"/>
      <c r="K3" s="167"/>
    </row>
    <row r="4" spans="1:11" ht="15.75" thickBot="1">
      <c r="C4" s="25" t="s">
        <v>257</v>
      </c>
      <c r="D4" s="26" t="s">
        <v>559</v>
      </c>
      <c r="E4" s="25" t="s">
        <v>256</v>
      </c>
      <c r="F4" s="27">
        <v>50</v>
      </c>
      <c r="G4" s="16">
        <v>150</v>
      </c>
      <c r="H4">
        <f t="shared" si="0"/>
        <v>128.86597938144331</v>
      </c>
      <c r="J4" s="168"/>
      <c r="K4" s="169"/>
    </row>
    <row r="5" spans="1:11">
      <c r="C5" s="25" t="s">
        <v>255</v>
      </c>
      <c r="D5" s="26" t="s">
        <v>560</v>
      </c>
      <c r="E5" s="25" t="s">
        <v>254</v>
      </c>
      <c r="F5" s="27">
        <v>50</v>
      </c>
      <c r="G5" s="16">
        <v>150</v>
      </c>
      <c r="H5">
        <f t="shared" si="0"/>
        <v>128.86597938144331</v>
      </c>
    </row>
    <row r="6" spans="1:11">
      <c r="C6" s="25" t="s">
        <v>263</v>
      </c>
      <c r="D6" s="26" t="s">
        <v>561</v>
      </c>
      <c r="E6" s="25" t="s">
        <v>262</v>
      </c>
      <c r="F6" s="27">
        <v>50</v>
      </c>
      <c r="G6" s="16">
        <v>162</v>
      </c>
      <c r="H6">
        <f t="shared" si="0"/>
        <v>139.17525773195877</v>
      </c>
    </row>
    <row r="7" spans="1:11">
      <c r="C7" s="25" t="s">
        <v>261</v>
      </c>
      <c r="D7" s="26" t="s">
        <v>562</v>
      </c>
      <c r="E7" s="25" t="s">
        <v>260</v>
      </c>
      <c r="F7" s="27">
        <v>50</v>
      </c>
      <c r="G7" s="16">
        <v>169</v>
      </c>
      <c r="H7">
        <f t="shared" si="0"/>
        <v>145.18900343642613</v>
      </c>
    </row>
    <row r="8" spans="1:11">
      <c r="C8" s="25"/>
      <c r="D8" s="26"/>
      <c r="E8" s="25"/>
      <c r="F8" s="27"/>
      <c r="G8" s="16"/>
      <c r="H8">
        <f t="shared" si="0"/>
        <v>0</v>
      </c>
    </row>
    <row r="9" spans="1:11">
      <c r="C9" s="25"/>
      <c r="D9" s="26"/>
      <c r="E9" s="25"/>
      <c r="F9" s="27"/>
    </row>
    <row r="11" spans="1:11">
      <c r="D11" s="9" t="s">
        <v>61</v>
      </c>
      <c r="E11" s="9">
        <v>1.1639999999999999</v>
      </c>
    </row>
  </sheetData>
  <mergeCells count="1">
    <mergeCell ref="J2:K4"/>
  </mergeCells>
  <hyperlinks>
    <hyperlink ref="J2:K4" location="Fornecedores_Contentores!A1" display="INICIO" xr:uid="{9EEE4215-D859-4BEA-BC5C-AF3C4953A3C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A343-94DC-4400-9D3E-280A41FBC854}">
  <sheetPr codeName="Folha9"/>
  <dimension ref="A1:K11"/>
  <sheetViews>
    <sheetView workbookViewId="0">
      <selection activeCell="J2" sqref="J2:K4"/>
    </sheetView>
  </sheetViews>
  <sheetFormatPr defaultRowHeight="15"/>
  <cols>
    <col min="3" max="3" width="20.42578125" bestFit="1" customWidth="1"/>
    <col min="4" max="4" width="14.140625" bestFit="1" customWidth="1"/>
    <col min="5" max="5" width="48.85546875" bestFit="1" customWidth="1"/>
    <col min="6" max="6" width="8.140625" bestFit="1" customWidth="1"/>
  </cols>
  <sheetData>
    <row r="1" spans="1:11" ht="15.75" thickBot="1">
      <c r="A1" s="9"/>
    </row>
    <row r="2" spans="1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1:11">
      <c r="C3" s="25" t="s">
        <v>107</v>
      </c>
      <c r="D3" s="26" t="s">
        <v>108</v>
      </c>
      <c r="E3" s="25" t="s">
        <v>109</v>
      </c>
      <c r="F3" s="27">
        <v>103</v>
      </c>
      <c r="G3" s="16">
        <v>86</v>
      </c>
      <c r="H3">
        <f t="shared" ref="H3:H8" si="0">G3/$E$11</f>
        <v>73.123033755633031</v>
      </c>
      <c r="J3" s="166"/>
      <c r="K3" s="167"/>
    </row>
    <row r="4" spans="1:11" ht="15.75" thickBot="1">
      <c r="C4" s="25" t="s">
        <v>133</v>
      </c>
      <c r="D4" s="26" t="s">
        <v>135</v>
      </c>
      <c r="E4" s="25" t="s">
        <v>136</v>
      </c>
      <c r="F4" s="27">
        <v>110</v>
      </c>
      <c r="G4" s="16">
        <v>86</v>
      </c>
      <c r="H4">
        <f t="shared" si="0"/>
        <v>73.123033755633031</v>
      </c>
      <c r="J4" s="168"/>
      <c r="K4" s="169"/>
    </row>
    <row r="5" spans="1:11">
      <c r="C5" s="25" t="s">
        <v>536</v>
      </c>
      <c r="D5" s="26">
        <v>5600413208298</v>
      </c>
      <c r="E5" s="25" t="s">
        <v>537</v>
      </c>
      <c r="F5" s="27">
        <v>150</v>
      </c>
      <c r="G5" s="16">
        <v>98.5</v>
      </c>
      <c r="H5">
        <f t="shared" si="0"/>
        <v>83.751381685230854</v>
      </c>
    </row>
    <row r="6" spans="1:11">
      <c r="C6" s="25"/>
      <c r="D6" s="26"/>
      <c r="E6" s="25"/>
      <c r="F6" s="27"/>
      <c r="G6" s="16"/>
      <c r="H6">
        <f t="shared" si="0"/>
        <v>0</v>
      </c>
    </row>
    <row r="7" spans="1:11">
      <c r="C7" s="25"/>
      <c r="D7" s="26"/>
      <c r="E7" s="25"/>
      <c r="F7" s="27"/>
      <c r="G7" s="16"/>
      <c r="H7">
        <f t="shared" si="0"/>
        <v>0</v>
      </c>
    </row>
    <row r="8" spans="1:11">
      <c r="C8" s="25"/>
      <c r="D8" s="26"/>
      <c r="E8" s="25"/>
      <c r="F8" s="27"/>
      <c r="G8" s="16"/>
      <c r="H8">
        <f t="shared" si="0"/>
        <v>0</v>
      </c>
    </row>
    <row r="9" spans="1:11">
      <c r="C9" s="25"/>
      <c r="D9" s="26"/>
      <c r="E9" s="25"/>
      <c r="F9" s="27"/>
    </row>
    <row r="11" spans="1:11">
      <c r="D11" s="9" t="s">
        <v>61</v>
      </c>
      <c r="E11" s="9">
        <v>1.1760999999999999</v>
      </c>
    </row>
  </sheetData>
  <mergeCells count="1">
    <mergeCell ref="J2:K4"/>
  </mergeCells>
  <hyperlinks>
    <hyperlink ref="J2:K4" location="Fornecedores_Contentores!A1" display="INICIO" xr:uid="{805377B7-C07F-4661-BC8F-2D8E43CB3AA8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D67D-CE38-4485-B97F-270D4EE4DCC6}">
  <sheetPr codeName="Folha10"/>
  <dimension ref="A1:K11"/>
  <sheetViews>
    <sheetView workbookViewId="0">
      <selection activeCell="J2" sqref="J2:K4"/>
    </sheetView>
  </sheetViews>
  <sheetFormatPr defaultRowHeight="15"/>
  <cols>
    <col min="3" max="3" width="18.140625" bestFit="1" customWidth="1"/>
    <col min="4" max="4" width="14.140625" bestFit="1" customWidth="1"/>
    <col min="5" max="5" width="48.85546875" bestFit="1" customWidth="1"/>
    <col min="6" max="6" width="8.140625" bestFit="1" customWidth="1"/>
  </cols>
  <sheetData>
    <row r="1" spans="1:11" ht="15.75" thickBot="1">
      <c r="A1" s="9"/>
    </row>
    <row r="2" spans="1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1:11">
      <c r="C3" s="25" t="s">
        <v>126</v>
      </c>
      <c r="D3" s="26" t="s">
        <v>140</v>
      </c>
      <c r="E3" s="25" t="s">
        <v>141</v>
      </c>
      <c r="F3" s="27">
        <v>75</v>
      </c>
      <c r="G3" s="16">
        <v>71</v>
      </c>
      <c r="H3">
        <f t="shared" ref="H3:H8" si="0">G3/$E$11</f>
        <v>60.996563573883165</v>
      </c>
      <c r="J3" s="166"/>
      <c r="K3" s="167"/>
    </row>
    <row r="4" spans="1:11" ht="15.75" thickBot="1">
      <c r="C4" s="25" t="s">
        <v>45</v>
      </c>
      <c r="D4" s="26" t="s">
        <v>79</v>
      </c>
      <c r="E4" s="25" t="s">
        <v>80</v>
      </c>
      <c r="F4" s="27">
        <v>130</v>
      </c>
      <c r="G4" s="16">
        <v>98</v>
      </c>
      <c r="H4">
        <f t="shared" si="0"/>
        <v>84.192439862542955</v>
      </c>
      <c r="J4" s="168"/>
      <c r="K4" s="169"/>
    </row>
    <row r="5" spans="1:11">
      <c r="C5" s="25" t="s">
        <v>43</v>
      </c>
      <c r="D5" s="26" t="s">
        <v>83</v>
      </c>
      <c r="E5" s="25" t="s">
        <v>84</v>
      </c>
      <c r="F5" s="27">
        <v>80</v>
      </c>
      <c r="G5" s="16">
        <v>65.5</v>
      </c>
      <c r="H5">
        <f t="shared" si="0"/>
        <v>56.271477663230243</v>
      </c>
    </row>
    <row r="6" spans="1:11">
      <c r="C6" s="25" t="s">
        <v>44</v>
      </c>
      <c r="D6" s="26" t="s">
        <v>73</v>
      </c>
      <c r="E6" s="25" t="s">
        <v>74</v>
      </c>
      <c r="F6" s="27">
        <v>115</v>
      </c>
      <c r="G6" s="16">
        <v>65.5</v>
      </c>
      <c r="H6">
        <f t="shared" si="0"/>
        <v>56.271477663230243</v>
      </c>
    </row>
    <row r="7" spans="1:11">
      <c r="C7" s="25"/>
      <c r="D7" s="26"/>
      <c r="E7" s="25"/>
      <c r="F7" s="27"/>
      <c r="G7" s="16"/>
      <c r="H7">
        <f t="shared" si="0"/>
        <v>0</v>
      </c>
    </row>
    <row r="8" spans="1:11">
      <c r="C8" s="25"/>
      <c r="D8" s="26"/>
      <c r="E8" s="25"/>
      <c r="F8" s="27"/>
      <c r="G8" s="16"/>
      <c r="H8">
        <f t="shared" si="0"/>
        <v>0</v>
      </c>
    </row>
    <row r="9" spans="1:11">
      <c r="C9" s="25"/>
      <c r="D9" s="26"/>
      <c r="E9" s="25"/>
      <c r="F9" s="27"/>
    </row>
    <row r="11" spans="1:11">
      <c r="D11" s="9" t="s">
        <v>61</v>
      </c>
      <c r="E11" s="9">
        <v>1.1639999999999999</v>
      </c>
    </row>
  </sheetData>
  <mergeCells count="1">
    <mergeCell ref="J2:K4"/>
  </mergeCells>
  <hyperlinks>
    <hyperlink ref="J2:K4" location="Fornecedores_Contentores!A1" display="INICIO" xr:uid="{E5EAE54E-8F5F-41A3-A225-AD7855612FA4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D14A-27C2-40C2-A668-294BEB6F90F7}">
  <sheetPr codeName="Folha11"/>
  <dimension ref="A1:K11"/>
  <sheetViews>
    <sheetView workbookViewId="0">
      <selection activeCell="J2" sqref="J2:K4"/>
    </sheetView>
  </sheetViews>
  <sheetFormatPr defaultRowHeight="15"/>
  <cols>
    <col min="3" max="3" width="21.85546875" bestFit="1" customWidth="1"/>
    <col min="4" max="4" width="14.140625" bestFit="1" customWidth="1"/>
    <col min="5" max="5" width="50" bestFit="1" customWidth="1"/>
    <col min="6" max="6" width="8.140625" bestFit="1" customWidth="1"/>
  </cols>
  <sheetData>
    <row r="1" spans="1:11" ht="15.75" thickBot="1">
      <c r="A1" s="9"/>
    </row>
    <row r="2" spans="1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1:11">
      <c r="C3" s="25" t="s">
        <v>45</v>
      </c>
      <c r="D3" s="26" t="s">
        <v>79</v>
      </c>
      <c r="E3" s="25" t="s">
        <v>327</v>
      </c>
      <c r="F3" s="27">
        <v>200</v>
      </c>
      <c r="G3" s="16">
        <v>98</v>
      </c>
      <c r="H3">
        <f t="shared" ref="H3:H8" si="0">G3/$E$11</f>
        <v>84.16351769151494</v>
      </c>
      <c r="J3" s="166"/>
      <c r="K3" s="167"/>
    </row>
    <row r="4" spans="1:11" ht="15.75" thickBot="1">
      <c r="C4" s="25" t="s">
        <v>39</v>
      </c>
      <c r="D4" s="26" t="s">
        <v>68</v>
      </c>
      <c r="E4" s="25" t="s">
        <v>524</v>
      </c>
      <c r="F4" s="27">
        <v>80</v>
      </c>
      <c r="G4" s="16">
        <v>88</v>
      </c>
      <c r="H4">
        <f t="shared" si="0"/>
        <v>75.575403641360353</v>
      </c>
      <c r="J4" s="168"/>
      <c r="K4" s="169"/>
    </row>
    <row r="5" spans="1:11">
      <c r="C5" s="25" t="s">
        <v>250</v>
      </c>
      <c r="D5" s="26" t="s">
        <v>249</v>
      </c>
      <c r="E5" s="25" t="s">
        <v>525</v>
      </c>
      <c r="F5" s="27">
        <v>29</v>
      </c>
      <c r="G5" s="16">
        <v>63</v>
      </c>
      <c r="H5">
        <f t="shared" si="0"/>
        <v>54.105118515973885</v>
      </c>
    </row>
    <row r="6" spans="1:11">
      <c r="C6" s="25" t="s">
        <v>124</v>
      </c>
      <c r="D6" s="26">
        <v>5600413207741</v>
      </c>
      <c r="E6" s="25" t="s">
        <v>526</v>
      </c>
      <c r="F6" s="27">
        <v>60</v>
      </c>
      <c r="G6" s="16">
        <v>37.5</v>
      </c>
      <c r="H6">
        <f t="shared" si="0"/>
        <v>32.205427688079695</v>
      </c>
    </row>
    <row r="7" spans="1:11">
      <c r="C7" s="25"/>
      <c r="D7" s="26"/>
      <c r="E7" s="25"/>
      <c r="F7" s="27"/>
      <c r="G7" s="16"/>
      <c r="H7">
        <f t="shared" si="0"/>
        <v>0</v>
      </c>
    </row>
    <row r="8" spans="1:11">
      <c r="C8" s="25"/>
      <c r="D8" s="26"/>
      <c r="E8" s="25"/>
      <c r="F8" s="27"/>
      <c r="G8" s="16"/>
      <c r="H8">
        <f t="shared" si="0"/>
        <v>0</v>
      </c>
    </row>
    <row r="9" spans="1:11">
      <c r="C9" s="25"/>
      <c r="D9" s="26"/>
      <c r="E9" s="25"/>
      <c r="F9" s="27"/>
    </row>
    <row r="11" spans="1:11">
      <c r="D11" s="9" t="s">
        <v>61</v>
      </c>
      <c r="E11" s="9">
        <v>1.1644000000000001</v>
      </c>
    </row>
  </sheetData>
  <mergeCells count="1">
    <mergeCell ref="J2:K4"/>
  </mergeCells>
  <hyperlinks>
    <hyperlink ref="J2:K4" location="Fornecedores_Contentores!A1" display="INICIO" xr:uid="{685D691D-48E1-4E02-AECF-9F9CF4815C2B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9395-76E1-4363-94EB-97697D5C0551}">
  <sheetPr codeName="Folha12"/>
  <dimension ref="A1:K11"/>
  <sheetViews>
    <sheetView workbookViewId="0">
      <selection activeCell="J2" sqref="J2:K4"/>
    </sheetView>
  </sheetViews>
  <sheetFormatPr defaultRowHeight="15"/>
  <cols>
    <col min="3" max="3" width="21.85546875" bestFit="1" customWidth="1"/>
    <col min="4" max="4" width="14.140625" bestFit="1" customWidth="1"/>
    <col min="5" max="5" width="50" bestFit="1" customWidth="1"/>
    <col min="6" max="6" width="8.140625" bestFit="1" customWidth="1"/>
  </cols>
  <sheetData>
    <row r="1" spans="1:11" ht="15.75" thickBot="1">
      <c r="A1" s="9"/>
    </row>
    <row r="2" spans="1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1:11">
      <c r="C3" s="25" t="s">
        <v>42</v>
      </c>
      <c r="D3" s="26" t="s">
        <v>81</v>
      </c>
      <c r="E3" s="25" t="s">
        <v>288</v>
      </c>
      <c r="F3" s="27">
        <v>185</v>
      </c>
      <c r="G3" s="16">
        <v>60.5</v>
      </c>
      <c r="H3">
        <f t="shared" ref="H3:H8" si="0">G3/$E$11</f>
        <v>51.958090003435238</v>
      </c>
      <c r="J3" s="166"/>
      <c r="K3" s="167"/>
    </row>
    <row r="4" spans="1:11" ht="15.75" thickBot="1">
      <c r="C4" s="25" t="s">
        <v>43</v>
      </c>
      <c r="D4" s="26" t="s">
        <v>83</v>
      </c>
      <c r="E4" s="25" t="s">
        <v>289</v>
      </c>
      <c r="F4" s="27">
        <v>100</v>
      </c>
      <c r="G4" s="16">
        <v>65.5</v>
      </c>
      <c r="H4">
        <f t="shared" si="0"/>
        <v>56.252147028512532</v>
      </c>
      <c r="J4" s="168"/>
      <c r="K4" s="169"/>
    </row>
    <row r="5" spans="1:11">
      <c r="C5" s="25" t="s">
        <v>44</v>
      </c>
      <c r="D5" s="26" t="s">
        <v>73</v>
      </c>
      <c r="E5" s="25" t="s">
        <v>290</v>
      </c>
      <c r="F5" s="27">
        <v>120</v>
      </c>
      <c r="G5" s="16">
        <v>65.5</v>
      </c>
      <c r="H5">
        <f t="shared" si="0"/>
        <v>56.252147028512532</v>
      </c>
    </row>
    <row r="6" spans="1:11">
      <c r="C6" s="25" t="s">
        <v>250</v>
      </c>
      <c r="D6" s="26" t="s">
        <v>249</v>
      </c>
      <c r="E6" s="25" t="s">
        <v>525</v>
      </c>
      <c r="F6" s="27">
        <v>38</v>
      </c>
      <c r="G6" s="16">
        <v>63</v>
      </c>
      <c r="H6">
        <f t="shared" si="0"/>
        <v>54.105118515973885</v>
      </c>
    </row>
    <row r="7" spans="1:11">
      <c r="C7" s="25"/>
      <c r="D7" s="26"/>
      <c r="E7" s="25"/>
      <c r="F7" s="27"/>
      <c r="G7" s="16"/>
      <c r="H7">
        <f t="shared" si="0"/>
        <v>0</v>
      </c>
    </row>
    <row r="8" spans="1:11">
      <c r="C8" s="25"/>
      <c r="D8" s="26"/>
      <c r="E8" s="25"/>
      <c r="F8" s="27"/>
      <c r="G8" s="16"/>
      <c r="H8">
        <f t="shared" si="0"/>
        <v>0</v>
      </c>
    </row>
    <row r="9" spans="1:11">
      <c r="C9" s="25"/>
      <c r="D9" s="26"/>
      <c r="E9" s="25"/>
      <c r="F9" s="27"/>
    </row>
    <row r="11" spans="1:11">
      <c r="D11" s="9" t="s">
        <v>61</v>
      </c>
      <c r="E11" s="9">
        <v>1.1644000000000001</v>
      </c>
    </row>
  </sheetData>
  <mergeCells count="1">
    <mergeCell ref="J2:K4"/>
  </mergeCells>
  <hyperlinks>
    <hyperlink ref="J2:K4" location="Fornecedores_Contentores!A1" display="INICIO" xr:uid="{0AD99C98-C6CA-4C8E-8ECF-0EA657D8CC95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5C60-AF56-48A1-9D51-65D0B90E8F42}">
  <sheetPr codeName="Folha13"/>
  <dimension ref="A1:K14"/>
  <sheetViews>
    <sheetView workbookViewId="0">
      <selection activeCell="C9" sqref="C9:G9"/>
    </sheetView>
  </sheetViews>
  <sheetFormatPr defaultRowHeight="15"/>
  <cols>
    <col min="3" max="3" width="21.85546875" bestFit="1" customWidth="1"/>
    <col min="4" max="4" width="14.140625" bestFit="1" customWidth="1"/>
    <col min="5" max="5" width="61.42578125" bestFit="1" customWidth="1"/>
    <col min="6" max="6" width="8.140625" bestFit="1" customWidth="1"/>
  </cols>
  <sheetData>
    <row r="1" spans="1:11" ht="15.75" thickBot="1">
      <c r="A1" s="9"/>
    </row>
    <row r="2" spans="1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1:11">
      <c r="C3" s="25" t="s">
        <v>494</v>
      </c>
      <c r="D3" s="26" t="s">
        <v>495</v>
      </c>
      <c r="E3" s="25" t="s">
        <v>496</v>
      </c>
      <c r="F3" s="27">
        <v>150</v>
      </c>
      <c r="G3" s="16">
        <v>12.83</v>
      </c>
      <c r="H3">
        <f t="shared" ref="H3:H11" si="0">G3/$E$14</f>
        <v>11.018550326348333</v>
      </c>
      <c r="J3" s="166"/>
      <c r="K3" s="167"/>
    </row>
    <row r="4" spans="1:11" ht="15.75" thickBot="1">
      <c r="C4" s="25" t="s">
        <v>497</v>
      </c>
      <c r="D4" s="26" t="s">
        <v>498</v>
      </c>
      <c r="E4" s="25" t="s">
        <v>499</v>
      </c>
      <c r="F4" s="27">
        <v>100</v>
      </c>
      <c r="G4" s="16">
        <v>15.81</v>
      </c>
      <c r="H4">
        <f t="shared" si="0"/>
        <v>13.577808313294399</v>
      </c>
      <c r="J4" s="168"/>
      <c r="K4" s="169"/>
    </row>
    <row r="5" spans="1:11">
      <c r="C5" s="44" t="s">
        <v>500</v>
      </c>
      <c r="D5" s="45" t="s">
        <v>501</v>
      </c>
      <c r="E5" s="44" t="s">
        <v>502</v>
      </c>
      <c r="F5" s="46">
        <v>80</v>
      </c>
      <c r="G5" s="16">
        <v>51.9</v>
      </c>
      <c r="H5">
        <f t="shared" si="0"/>
        <v>44.572311920302297</v>
      </c>
    </row>
    <row r="6" spans="1:11">
      <c r="C6" s="44" t="s">
        <v>503</v>
      </c>
      <c r="D6" s="45" t="s">
        <v>504</v>
      </c>
      <c r="E6" s="44" t="s">
        <v>505</v>
      </c>
      <c r="F6" s="46">
        <v>100</v>
      </c>
      <c r="G6" s="16">
        <v>48.76</v>
      </c>
      <c r="H6">
        <f t="shared" si="0"/>
        <v>41.875644108553757</v>
      </c>
    </row>
    <row r="7" spans="1:11">
      <c r="C7" s="25" t="s">
        <v>506</v>
      </c>
      <c r="D7" s="26" t="s">
        <v>507</v>
      </c>
      <c r="E7" s="25" t="s">
        <v>508</v>
      </c>
      <c r="F7" s="27">
        <v>100</v>
      </c>
      <c r="G7" s="16">
        <v>18.239999999999998</v>
      </c>
      <c r="H7">
        <f t="shared" si="0"/>
        <v>15.664720027481962</v>
      </c>
    </row>
    <row r="8" spans="1:11">
      <c r="C8" s="25" t="s">
        <v>509</v>
      </c>
      <c r="D8" s="26" t="s">
        <v>510</v>
      </c>
      <c r="E8" s="25" t="s">
        <v>511</v>
      </c>
      <c r="F8" s="27">
        <v>233</v>
      </c>
      <c r="G8" s="16">
        <v>23.62</v>
      </c>
      <c r="H8">
        <f t="shared" si="0"/>
        <v>20.285125386465133</v>
      </c>
    </row>
    <row r="9" spans="1:11">
      <c r="C9" s="25" t="s">
        <v>402</v>
      </c>
      <c r="D9" s="26" t="s">
        <v>403</v>
      </c>
      <c r="E9" s="25" t="s">
        <v>404</v>
      </c>
      <c r="F9" s="27">
        <v>200</v>
      </c>
      <c r="G9" s="16">
        <v>12.46</v>
      </c>
      <c r="H9">
        <f t="shared" si="0"/>
        <v>10.700790106492613</v>
      </c>
    </row>
    <row r="10" spans="1:11">
      <c r="C10" s="25" t="s">
        <v>512</v>
      </c>
      <c r="D10" s="26" t="s">
        <v>513</v>
      </c>
      <c r="E10" s="25" t="s">
        <v>514</v>
      </c>
      <c r="F10" s="27">
        <v>2000</v>
      </c>
      <c r="G10" s="16">
        <v>2.65</v>
      </c>
      <c r="H10">
        <f t="shared" si="0"/>
        <v>2.275850223290965</v>
      </c>
    </row>
    <row r="11" spans="1:11">
      <c r="C11" s="25" t="s">
        <v>515</v>
      </c>
      <c r="D11" s="26" t="s">
        <v>516</v>
      </c>
      <c r="E11" s="25" t="s">
        <v>517</v>
      </c>
      <c r="F11" s="27">
        <v>1000</v>
      </c>
      <c r="G11" s="16">
        <v>3.28</v>
      </c>
      <c r="H11">
        <f t="shared" si="0"/>
        <v>2.816901408450704</v>
      </c>
    </row>
    <row r="12" spans="1:11">
      <c r="C12" s="25"/>
      <c r="D12" s="26"/>
      <c r="E12" s="25"/>
      <c r="F12" s="27"/>
    </row>
    <row r="14" spans="1:11">
      <c r="D14" s="9" t="s">
        <v>61</v>
      </c>
      <c r="E14" s="9">
        <v>1.1644000000000001</v>
      </c>
    </row>
  </sheetData>
  <mergeCells count="1">
    <mergeCell ref="J2:K4"/>
  </mergeCells>
  <hyperlinks>
    <hyperlink ref="J2:K4" location="Fornecedores_Contentores!A1" display="INICIO" xr:uid="{53469E67-11F9-4CE6-BBEA-BB033FACA22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26A4-DE95-48A8-85C3-277B72446735}">
  <sheetPr codeName="Folha14"/>
  <dimension ref="A1:K11"/>
  <sheetViews>
    <sheetView workbookViewId="0">
      <selection sqref="A1:K12"/>
    </sheetView>
  </sheetViews>
  <sheetFormatPr defaultRowHeight="15"/>
  <cols>
    <col min="3" max="3" width="17.5703125" bestFit="1" customWidth="1"/>
    <col min="4" max="4" width="14.140625" bestFit="1" customWidth="1"/>
    <col min="5" max="5" width="62.42578125" bestFit="1" customWidth="1"/>
    <col min="6" max="6" width="8.140625" bestFit="1" customWidth="1"/>
  </cols>
  <sheetData>
    <row r="1" spans="1:11" ht="15.75" thickBot="1">
      <c r="A1" s="9"/>
    </row>
    <row r="2" spans="1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1:11">
      <c r="C3" s="25" t="s">
        <v>85</v>
      </c>
      <c r="D3" s="26">
        <v>5600413207321</v>
      </c>
      <c r="E3" s="25" t="s">
        <v>86</v>
      </c>
      <c r="F3" s="27">
        <v>225</v>
      </c>
      <c r="G3" s="16">
        <v>38</v>
      </c>
      <c r="H3">
        <f t="shared" ref="H3:H9" si="0">G3/$E$11</f>
        <v>32.690984170681347</v>
      </c>
      <c r="J3" s="166"/>
      <c r="K3" s="167"/>
    </row>
    <row r="4" spans="1:11" ht="15.75" thickBot="1">
      <c r="C4" s="25" t="s">
        <v>87</v>
      </c>
      <c r="D4" s="26">
        <v>5600413207338</v>
      </c>
      <c r="E4" s="25" t="s">
        <v>88</v>
      </c>
      <c r="F4" s="27">
        <v>225</v>
      </c>
      <c r="G4" s="16">
        <v>27</v>
      </c>
      <c r="H4">
        <f t="shared" si="0"/>
        <v>23.227804542326218</v>
      </c>
      <c r="J4" s="168"/>
      <c r="K4" s="169"/>
    </row>
    <row r="5" spans="1:11">
      <c r="C5" s="25" t="s">
        <v>89</v>
      </c>
      <c r="D5" s="26">
        <v>5600413207345</v>
      </c>
      <c r="E5" s="25" t="s">
        <v>90</v>
      </c>
      <c r="F5" s="27">
        <v>284</v>
      </c>
      <c r="G5" s="16">
        <v>71.5</v>
      </c>
      <c r="H5">
        <f t="shared" si="0"/>
        <v>61.510667584308322</v>
      </c>
    </row>
    <row r="6" spans="1:11">
      <c r="C6" s="25" t="s">
        <v>91</v>
      </c>
      <c r="D6" s="26">
        <v>5600413207307</v>
      </c>
      <c r="E6" s="25" t="s">
        <v>111</v>
      </c>
      <c r="F6" s="27">
        <v>124</v>
      </c>
      <c r="G6" s="16">
        <v>107</v>
      </c>
      <c r="H6">
        <f t="shared" si="0"/>
        <v>92.050929112181691</v>
      </c>
    </row>
    <row r="7" spans="1:11">
      <c r="C7" s="9"/>
      <c r="D7" s="15"/>
      <c r="E7" s="9"/>
      <c r="F7" s="17"/>
      <c r="G7" s="16"/>
      <c r="H7">
        <f t="shared" si="0"/>
        <v>0</v>
      </c>
    </row>
    <row r="8" spans="1:11">
      <c r="C8" s="19"/>
      <c r="D8" s="20"/>
      <c r="E8" s="19"/>
      <c r="F8" s="18"/>
      <c r="G8" s="16"/>
      <c r="H8">
        <f t="shared" si="0"/>
        <v>0</v>
      </c>
    </row>
    <row r="9" spans="1:11">
      <c r="C9" s="9"/>
      <c r="D9" s="15"/>
      <c r="E9" s="9"/>
      <c r="F9" s="17"/>
      <c r="G9" s="16"/>
      <c r="H9">
        <f t="shared" si="0"/>
        <v>0</v>
      </c>
    </row>
    <row r="11" spans="1:11">
      <c r="D11" s="9" t="s">
        <v>61</v>
      </c>
      <c r="E11" s="9">
        <v>1.1624000000000001</v>
      </c>
    </row>
  </sheetData>
  <mergeCells count="1">
    <mergeCell ref="J2:K4"/>
  </mergeCells>
  <hyperlinks>
    <hyperlink ref="J2:K4" location="Fornecedores_Contentores!A1" display="INICIO" xr:uid="{6087DE05-758C-4E43-B53C-6DC0757B91EF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C7F99-887A-4A71-80B5-4B100E82701E}">
  <sheetPr codeName="Folha15"/>
  <dimension ref="C1:K10"/>
  <sheetViews>
    <sheetView workbookViewId="0">
      <selection activeCell="J2" sqref="J2:K4"/>
    </sheetView>
  </sheetViews>
  <sheetFormatPr defaultRowHeight="15"/>
  <cols>
    <col min="3" max="3" width="18.140625" bestFit="1" customWidth="1"/>
    <col min="4" max="4" width="14.140625" bestFit="1" customWidth="1"/>
    <col min="5" max="5" width="47" bestFit="1" customWidth="1"/>
    <col min="6" max="6" width="8.1406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43</v>
      </c>
      <c r="D3" s="25" t="s">
        <v>83</v>
      </c>
      <c r="E3" s="25" t="s">
        <v>289</v>
      </c>
      <c r="F3" s="25">
        <v>50</v>
      </c>
      <c r="G3" s="16">
        <v>65.5</v>
      </c>
      <c r="H3">
        <f t="shared" ref="H3:H8" si="0">G3/$E$10</f>
        <v>55.042016806722692</v>
      </c>
      <c r="J3" s="166"/>
      <c r="K3" s="167"/>
    </row>
    <row r="4" spans="3:11" ht="15.75" thickBot="1">
      <c r="C4" s="25" t="s">
        <v>44</v>
      </c>
      <c r="D4" s="25" t="s">
        <v>73</v>
      </c>
      <c r="E4" s="25" t="s">
        <v>290</v>
      </c>
      <c r="F4" s="25">
        <v>50</v>
      </c>
      <c r="G4" s="16">
        <v>65.5</v>
      </c>
      <c r="H4">
        <f t="shared" si="0"/>
        <v>55.042016806722692</v>
      </c>
      <c r="J4" s="168"/>
      <c r="K4" s="169"/>
    </row>
    <row r="5" spans="3:11">
      <c r="C5" s="25" t="s">
        <v>45</v>
      </c>
      <c r="D5" s="25" t="s">
        <v>79</v>
      </c>
      <c r="E5" s="25" t="s">
        <v>327</v>
      </c>
      <c r="F5" s="25">
        <v>200</v>
      </c>
      <c r="G5" s="16">
        <v>98</v>
      </c>
      <c r="H5">
        <f t="shared" si="0"/>
        <v>82.352941176470594</v>
      </c>
    </row>
    <row r="6" spans="3:11">
      <c r="C6" s="25" t="s">
        <v>42</v>
      </c>
      <c r="D6" s="25" t="s">
        <v>81</v>
      </c>
      <c r="E6" s="25" t="s">
        <v>288</v>
      </c>
      <c r="F6" s="25">
        <v>80</v>
      </c>
      <c r="G6" s="16">
        <v>60.5</v>
      </c>
      <c r="H6">
        <f t="shared" si="0"/>
        <v>50.840336134453786</v>
      </c>
    </row>
    <row r="7" spans="3:11">
      <c r="C7" s="25"/>
      <c r="D7" s="26"/>
      <c r="E7" s="25"/>
      <c r="F7" s="27"/>
      <c r="G7" s="16"/>
      <c r="H7">
        <f t="shared" si="0"/>
        <v>0</v>
      </c>
    </row>
    <row r="8" spans="3:11">
      <c r="C8" s="25"/>
      <c r="D8" s="26"/>
      <c r="E8" s="25"/>
      <c r="F8" s="27"/>
      <c r="G8" s="16"/>
      <c r="H8">
        <f t="shared" si="0"/>
        <v>0</v>
      </c>
    </row>
    <row r="10" spans="3:11">
      <c r="D10" s="25" t="s">
        <v>61</v>
      </c>
      <c r="E10" s="25">
        <v>1.19</v>
      </c>
    </row>
  </sheetData>
  <mergeCells count="1">
    <mergeCell ref="J2:K4"/>
  </mergeCells>
  <hyperlinks>
    <hyperlink ref="J2:K4" location="Fornecedores_Contentores!A1" display="INICIO" xr:uid="{77754B45-86F2-4FC5-A5F1-DDB86DB7A14E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E283-F2F8-4699-8E56-6A9BBC98A847}">
  <sheetPr codeName="Folha16"/>
  <dimension ref="C1:K16"/>
  <sheetViews>
    <sheetView workbookViewId="0">
      <selection activeCell="J2" sqref="J2:K4"/>
    </sheetView>
  </sheetViews>
  <sheetFormatPr defaultRowHeight="15"/>
  <cols>
    <col min="3" max="3" width="25.5703125" bestFit="1" customWidth="1"/>
    <col min="4" max="4" width="14.140625" bestFit="1" customWidth="1"/>
    <col min="5" max="5" width="38.28515625" bestFit="1" customWidth="1"/>
    <col min="6" max="6" width="8.140625" bestFit="1" customWidth="1"/>
    <col min="7" max="7" width="5.57031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62</v>
      </c>
      <c r="D3" s="25" t="s">
        <v>123</v>
      </c>
      <c r="E3" s="25" t="s">
        <v>63</v>
      </c>
      <c r="F3" s="25">
        <v>30</v>
      </c>
      <c r="G3" s="16">
        <v>69.010000000000005</v>
      </c>
      <c r="H3">
        <f t="shared" ref="H3:H14" si="0">G3/$E$16</f>
        <v>58.927504056015714</v>
      </c>
      <c r="J3" s="166"/>
      <c r="K3" s="167"/>
    </row>
    <row r="4" spans="3:11" ht="15.75" thickBot="1">
      <c r="C4" s="25" t="s">
        <v>129</v>
      </c>
      <c r="D4" s="25" t="s">
        <v>130</v>
      </c>
      <c r="E4" s="25" t="s">
        <v>468</v>
      </c>
      <c r="F4" s="25">
        <v>30</v>
      </c>
      <c r="G4" s="16">
        <v>69.010000000000005</v>
      </c>
      <c r="H4">
        <f t="shared" si="0"/>
        <v>58.927504056015714</v>
      </c>
      <c r="J4" s="168"/>
      <c r="K4" s="169"/>
    </row>
    <row r="5" spans="3:11">
      <c r="C5" s="25" t="s">
        <v>465</v>
      </c>
      <c r="D5" s="25" t="s">
        <v>477</v>
      </c>
      <c r="E5" s="25" t="s">
        <v>469</v>
      </c>
      <c r="F5" s="25">
        <v>40</v>
      </c>
      <c r="G5" s="16">
        <v>66.510000000000005</v>
      </c>
      <c r="H5">
        <f t="shared" si="0"/>
        <v>56.792758944582019</v>
      </c>
    </row>
    <row r="6" spans="3:11">
      <c r="C6" s="25" t="s">
        <v>466</v>
      </c>
      <c r="D6" s="25" t="s">
        <v>478</v>
      </c>
      <c r="E6" s="25" t="s">
        <v>470</v>
      </c>
      <c r="F6" s="25">
        <v>45</v>
      </c>
      <c r="G6" s="16">
        <v>66.510000000000005</v>
      </c>
      <c r="H6">
        <f t="shared" ref="H6:H11" si="1">G6/$E$16</f>
        <v>56.792758944582019</v>
      </c>
    </row>
    <row r="7" spans="3:11">
      <c r="C7" s="25" t="s">
        <v>107</v>
      </c>
      <c r="D7" s="25" t="s">
        <v>108</v>
      </c>
      <c r="E7" s="25" t="s">
        <v>471</v>
      </c>
      <c r="F7" s="25">
        <v>40</v>
      </c>
      <c r="G7" s="16">
        <v>88</v>
      </c>
      <c r="H7">
        <f t="shared" si="1"/>
        <v>75.143027922466061</v>
      </c>
    </row>
    <row r="8" spans="3:11">
      <c r="C8" s="25" t="s">
        <v>133</v>
      </c>
      <c r="D8" s="25" t="s">
        <v>135</v>
      </c>
      <c r="E8" s="25" t="s">
        <v>472</v>
      </c>
      <c r="F8" s="25">
        <v>30</v>
      </c>
      <c r="G8" s="16">
        <v>88</v>
      </c>
      <c r="H8">
        <f t="shared" si="1"/>
        <v>75.143027922466061</v>
      </c>
    </row>
    <row r="9" spans="3:11">
      <c r="C9" s="25" t="s">
        <v>297</v>
      </c>
      <c r="D9" s="25" t="s">
        <v>298</v>
      </c>
      <c r="E9" s="25" t="s">
        <v>299</v>
      </c>
      <c r="F9" s="25">
        <v>20</v>
      </c>
      <c r="G9" s="16">
        <v>67.39</v>
      </c>
      <c r="H9">
        <f t="shared" si="1"/>
        <v>57.544189223806676</v>
      </c>
    </row>
    <row r="10" spans="3:11">
      <c r="C10" s="25" t="s">
        <v>25</v>
      </c>
      <c r="D10" s="25" t="s">
        <v>48</v>
      </c>
      <c r="E10" s="25" t="s">
        <v>36</v>
      </c>
      <c r="F10" s="25">
        <v>40</v>
      </c>
      <c r="G10" s="16">
        <v>58.9</v>
      </c>
      <c r="H10">
        <f t="shared" si="1"/>
        <v>50.29459482537785</v>
      </c>
    </row>
    <row r="11" spans="3:11">
      <c r="C11" s="25" t="s">
        <v>23</v>
      </c>
      <c r="D11" s="25" t="s">
        <v>49</v>
      </c>
      <c r="E11" s="25" t="s">
        <v>473</v>
      </c>
      <c r="F11" s="25">
        <v>20</v>
      </c>
      <c r="G11" s="16">
        <v>58.9</v>
      </c>
      <c r="H11">
        <f t="shared" si="1"/>
        <v>50.29459482537785</v>
      </c>
    </row>
    <row r="12" spans="3:11">
      <c r="C12" s="25" t="s">
        <v>467</v>
      </c>
      <c r="D12" s="25" t="s">
        <v>479</v>
      </c>
      <c r="E12" s="25" t="s">
        <v>474</v>
      </c>
      <c r="F12" s="25">
        <v>10</v>
      </c>
      <c r="G12" s="16">
        <v>69.010000000000005</v>
      </c>
      <c r="H12">
        <f t="shared" si="0"/>
        <v>58.927504056015714</v>
      </c>
    </row>
    <row r="13" spans="3:11">
      <c r="C13" s="25" t="s">
        <v>134</v>
      </c>
      <c r="D13" s="25" t="s">
        <v>137</v>
      </c>
      <c r="E13" s="25" t="s">
        <v>475</v>
      </c>
      <c r="F13" s="25">
        <v>50</v>
      </c>
      <c r="G13" s="16">
        <v>69.010000000000005</v>
      </c>
      <c r="H13">
        <f t="shared" si="0"/>
        <v>58.927504056015714</v>
      </c>
    </row>
    <row r="14" spans="3:11">
      <c r="C14" s="25" t="s">
        <v>131</v>
      </c>
      <c r="D14" s="25" t="s">
        <v>139</v>
      </c>
      <c r="E14" s="25" t="s">
        <v>476</v>
      </c>
      <c r="F14" s="25">
        <v>50</v>
      </c>
      <c r="G14" s="16">
        <v>69.010000000000005</v>
      </c>
      <c r="H14">
        <f t="shared" si="0"/>
        <v>58.927504056015714</v>
      </c>
    </row>
    <row r="16" spans="3:11">
      <c r="D16" s="25" t="s">
        <v>61</v>
      </c>
      <c r="E16" s="9">
        <v>1.1711</v>
      </c>
    </row>
  </sheetData>
  <mergeCells count="1">
    <mergeCell ref="J2:K4"/>
  </mergeCells>
  <hyperlinks>
    <hyperlink ref="J2:K4" location="Fornecedores_Contentores!A1" display="INICIO" xr:uid="{E64CF016-5FB3-453C-9E28-00BBC75B34FF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5A09-0E76-4828-AFE9-342D1062AF3F}">
  <sheetPr codeName="Folha17"/>
  <dimension ref="C1:K11"/>
  <sheetViews>
    <sheetView workbookViewId="0">
      <selection activeCell="J2" sqref="J2:K4"/>
    </sheetView>
  </sheetViews>
  <sheetFormatPr defaultRowHeight="15"/>
  <cols>
    <col min="3" max="3" width="24" bestFit="1" customWidth="1"/>
    <col min="4" max="4" width="14.140625" bestFit="1" customWidth="1"/>
    <col min="5" max="5" width="47" bestFit="1" customWidth="1"/>
    <col min="6" max="6" width="8.1406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114</v>
      </c>
      <c r="D3" s="25" t="s">
        <v>455</v>
      </c>
      <c r="E3" s="25" t="s">
        <v>115</v>
      </c>
      <c r="F3" s="25">
        <v>239</v>
      </c>
      <c r="G3" s="16">
        <v>43.12</v>
      </c>
      <c r="H3">
        <f t="shared" ref="H3:H9" si="0">G3/$E$11</f>
        <v>36.820083682008367</v>
      </c>
      <c r="J3" s="166"/>
      <c r="K3" s="167"/>
    </row>
    <row r="4" spans="3:11" ht="15.75" thickBot="1">
      <c r="C4" s="25" t="s">
        <v>64</v>
      </c>
      <c r="D4" s="25" t="s">
        <v>122</v>
      </c>
      <c r="E4" s="25" t="s">
        <v>65</v>
      </c>
      <c r="F4" s="25">
        <v>99</v>
      </c>
      <c r="G4" s="16">
        <v>69.010000000000005</v>
      </c>
      <c r="H4">
        <f t="shared" si="0"/>
        <v>58.927504056015714</v>
      </c>
      <c r="J4" s="168"/>
      <c r="K4" s="169"/>
    </row>
    <row r="5" spans="3:11">
      <c r="C5" s="25" t="s">
        <v>134</v>
      </c>
      <c r="D5" s="25" t="s">
        <v>137</v>
      </c>
      <c r="E5" s="25" t="s">
        <v>138</v>
      </c>
      <c r="F5" s="25">
        <v>50</v>
      </c>
      <c r="G5" s="16">
        <v>69.010000000000005</v>
      </c>
      <c r="H5">
        <f t="shared" si="0"/>
        <v>58.927504056015714</v>
      </c>
    </row>
    <row r="6" spans="3:11">
      <c r="C6" s="25"/>
      <c r="D6" s="25"/>
      <c r="E6" s="25"/>
      <c r="F6" s="25"/>
      <c r="G6" s="16"/>
      <c r="H6">
        <f t="shared" si="0"/>
        <v>0</v>
      </c>
    </row>
    <row r="7" spans="3:11">
      <c r="C7" s="25"/>
      <c r="D7" s="25"/>
      <c r="E7" s="25"/>
      <c r="F7" s="25"/>
      <c r="G7" s="16"/>
      <c r="H7">
        <f t="shared" si="0"/>
        <v>0</v>
      </c>
    </row>
    <row r="8" spans="3:11">
      <c r="C8" s="25"/>
      <c r="D8" s="26"/>
      <c r="E8" s="25"/>
      <c r="F8" s="27"/>
      <c r="G8" s="16"/>
      <c r="H8">
        <f t="shared" si="0"/>
        <v>0</v>
      </c>
    </row>
    <row r="9" spans="3:11">
      <c r="C9" s="25"/>
      <c r="D9" s="26"/>
      <c r="E9" s="25"/>
      <c r="F9" s="27"/>
      <c r="G9" s="16"/>
      <c r="H9">
        <f t="shared" si="0"/>
        <v>0</v>
      </c>
    </row>
    <row r="11" spans="3:11">
      <c r="D11" s="25" t="s">
        <v>61</v>
      </c>
      <c r="E11" s="9">
        <v>1.1711</v>
      </c>
    </row>
  </sheetData>
  <mergeCells count="1">
    <mergeCell ref="J2:K4"/>
  </mergeCells>
  <hyperlinks>
    <hyperlink ref="J2:K4" location="Fornecedores_Contentores!A1" display="INICIO" xr:uid="{8CFAA3DC-9270-4B04-8220-9531DF3E8D1B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1F289-0A4F-4DEB-9568-FA3C024B6C3E}">
  <sheetPr codeName="Folha18"/>
  <dimension ref="C1:K11"/>
  <sheetViews>
    <sheetView workbookViewId="0">
      <selection activeCell="J2" sqref="J2:K4"/>
    </sheetView>
  </sheetViews>
  <sheetFormatPr defaultRowHeight="15"/>
  <cols>
    <col min="3" max="3" width="18.140625" bestFit="1" customWidth="1"/>
    <col min="4" max="4" width="14.140625" bestFit="1" customWidth="1"/>
    <col min="5" max="5" width="47" bestFit="1" customWidth="1"/>
    <col min="6" max="6" width="8.1406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42</v>
      </c>
      <c r="D3" s="25" t="s">
        <v>81</v>
      </c>
      <c r="E3" s="25" t="s">
        <v>431</v>
      </c>
      <c r="F3" s="25">
        <v>230</v>
      </c>
      <c r="G3" s="16">
        <v>60.5</v>
      </c>
      <c r="H3">
        <f t="shared" ref="H3:H9" si="0">G3/$E$11</f>
        <v>50.716740715902418</v>
      </c>
      <c r="J3" s="166"/>
      <c r="K3" s="167"/>
    </row>
    <row r="4" spans="3:11" ht="15.75" thickBot="1">
      <c r="C4" s="25" t="s">
        <v>43</v>
      </c>
      <c r="D4" s="25" t="s">
        <v>83</v>
      </c>
      <c r="E4" s="25" t="s">
        <v>432</v>
      </c>
      <c r="F4" s="25">
        <v>100</v>
      </c>
      <c r="G4" s="16">
        <v>65.5</v>
      </c>
      <c r="H4">
        <f t="shared" si="0"/>
        <v>54.908206890770387</v>
      </c>
      <c r="J4" s="168"/>
      <c r="K4" s="169"/>
    </row>
    <row r="5" spans="3:11">
      <c r="C5" s="25" t="s">
        <v>44</v>
      </c>
      <c r="D5" s="25" t="s">
        <v>73</v>
      </c>
      <c r="E5" s="25" t="s">
        <v>433</v>
      </c>
      <c r="F5" s="25">
        <v>80</v>
      </c>
      <c r="G5" s="16">
        <v>65.5</v>
      </c>
      <c r="H5">
        <f t="shared" si="0"/>
        <v>54.908206890770387</v>
      </c>
    </row>
    <row r="6" spans="3:11">
      <c r="C6" s="25" t="s">
        <v>39</v>
      </c>
      <c r="D6" s="25" t="s">
        <v>68</v>
      </c>
      <c r="E6" s="25" t="s">
        <v>434</v>
      </c>
      <c r="F6" s="25">
        <v>10</v>
      </c>
      <c r="G6" s="16">
        <v>88</v>
      </c>
      <c r="H6">
        <f t="shared" si="0"/>
        <v>73.769804677676248</v>
      </c>
    </row>
    <row r="7" spans="3:11">
      <c r="C7" s="25" t="s">
        <v>41</v>
      </c>
      <c r="D7" s="25" t="s">
        <v>69</v>
      </c>
      <c r="E7" s="25" t="s">
        <v>435</v>
      </c>
      <c r="F7" s="25">
        <v>10</v>
      </c>
      <c r="G7" s="16">
        <v>145</v>
      </c>
      <c r="H7">
        <f t="shared" si="0"/>
        <v>121.55251907117109</v>
      </c>
    </row>
    <row r="8" spans="3:11">
      <c r="C8" s="25"/>
      <c r="D8" s="26"/>
      <c r="E8" s="25"/>
      <c r="F8" s="27"/>
      <c r="G8" s="16"/>
      <c r="H8">
        <f t="shared" si="0"/>
        <v>0</v>
      </c>
    </row>
    <row r="9" spans="3:11">
      <c r="C9" s="25"/>
      <c r="D9" s="26"/>
      <c r="E9" s="25"/>
      <c r="F9" s="27"/>
      <c r="G9" s="16"/>
      <c r="H9">
        <f t="shared" si="0"/>
        <v>0</v>
      </c>
    </row>
    <row r="11" spans="3:11">
      <c r="D11" s="25" t="s">
        <v>61</v>
      </c>
      <c r="E11" s="9">
        <v>1.1929000000000001</v>
      </c>
    </row>
  </sheetData>
  <mergeCells count="1">
    <mergeCell ref="J2:K4"/>
  </mergeCells>
  <hyperlinks>
    <hyperlink ref="J2:K4" location="Fornecedores_Contentores!A1" display="INICIO" xr:uid="{76462ECE-F255-4638-96A5-15DB50E7F702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B2A33-F98A-4F61-AB4A-DBB1AA9B06E7}">
  <sheetPr codeName="Folha19"/>
  <dimension ref="C1:K11"/>
  <sheetViews>
    <sheetView workbookViewId="0">
      <selection activeCell="J2" sqref="J2:K4"/>
    </sheetView>
  </sheetViews>
  <sheetFormatPr defaultRowHeight="15"/>
  <cols>
    <col min="3" max="3" width="23.42578125" bestFit="1" customWidth="1"/>
    <col min="4" max="4" width="14.140625" bestFit="1" customWidth="1"/>
    <col min="5" max="5" width="38.5703125" bestFit="1" customWidth="1"/>
    <col min="6" max="6" width="8.140625" bestFit="1" customWidth="1"/>
    <col min="7" max="7" width="6.57031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131</v>
      </c>
      <c r="D3" s="26" t="s">
        <v>139</v>
      </c>
      <c r="E3" s="25" t="s">
        <v>132</v>
      </c>
      <c r="F3" s="27">
        <v>70</v>
      </c>
      <c r="G3" s="16">
        <v>69.010000000000005</v>
      </c>
      <c r="H3">
        <f t="shared" ref="H3:H9" si="0">G3/$E$11</f>
        <v>58.458280389665397</v>
      </c>
      <c r="J3" s="166"/>
      <c r="K3" s="167"/>
    </row>
    <row r="4" spans="3:11" ht="15.75" thickBot="1">
      <c r="C4" s="25" t="s">
        <v>18</v>
      </c>
      <c r="D4" s="26" t="s">
        <v>46</v>
      </c>
      <c r="E4" s="25" t="s">
        <v>146</v>
      </c>
      <c r="F4" s="27">
        <v>190</v>
      </c>
      <c r="G4" s="16">
        <v>45.3</v>
      </c>
      <c r="H4">
        <f t="shared" si="0"/>
        <v>38.373570520965686</v>
      </c>
      <c r="J4" s="168"/>
      <c r="K4" s="169"/>
    </row>
    <row r="5" spans="3:11">
      <c r="C5" s="25" t="s">
        <v>25</v>
      </c>
      <c r="D5" s="26" t="s">
        <v>48</v>
      </c>
      <c r="E5" s="25" t="s">
        <v>36</v>
      </c>
      <c r="F5" s="27">
        <v>50</v>
      </c>
      <c r="G5" s="16">
        <v>58.9</v>
      </c>
      <c r="H5">
        <f t="shared" si="0"/>
        <v>49.894112664125366</v>
      </c>
    </row>
    <row r="6" spans="3:11">
      <c r="C6" s="25" t="s">
        <v>155</v>
      </c>
      <c r="D6" s="26" t="s">
        <v>113</v>
      </c>
      <c r="E6" s="25" t="s">
        <v>156</v>
      </c>
      <c r="F6" s="27">
        <v>30</v>
      </c>
      <c r="G6" s="16">
        <v>119.2</v>
      </c>
      <c r="H6">
        <f t="shared" si="0"/>
        <v>100.97416349004658</v>
      </c>
    </row>
    <row r="7" spans="3:11">
      <c r="C7" s="25" t="s">
        <v>37</v>
      </c>
      <c r="D7" s="26" t="s">
        <v>47</v>
      </c>
      <c r="E7" s="25" t="s">
        <v>157</v>
      </c>
      <c r="F7" s="27">
        <v>30</v>
      </c>
      <c r="G7" s="16">
        <v>58.9</v>
      </c>
      <c r="H7">
        <f t="shared" si="0"/>
        <v>49.894112664125366</v>
      </c>
    </row>
    <row r="8" spans="3:11">
      <c r="C8" s="25"/>
      <c r="D8" s="26"/>
      <c r="E8" s="25"/>
      <c r="F8" s="27"/>
      <c r="G8" s="16"/>
      <c r="H8">
        <f t="shared" si="0"/>
        <v>0</v>
      </c>
    </row>
    <row r="9" spans="3:11">
      <c r="C9" s="25"/>
      <c r="D9" s="26"/>
      <c r="E9" s="25"/>
      <c r="F9" s="27"/>
      <c r="G9" s="16"/>
      <c r="H9">
        <f t="shared" si="0"/>
        <v>0</v>
      </c>
    </row>
    <row r="11" spans="3:11">
      <c r="D11" s="25" t="s">
        <v>61</v>
      </c>
      <c r="E11" s="25">
        <v>1.1805000000000001</v>
      </c>
    </row>
  </sheetData>
  <mergeCells count="1">
    <mergeCell ref="J2:K4"/>
  </mergeCells>
  <hyperlinks>
    <hyperlink ref="J2:K4" location="Fornecedores_Contentores!A1" display="INICIO" xr:uid="{785F42B3-A78D-4A09-915F-85A9B36DBA51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7A588-2ED5-46AF-9596-C30A03D7F4F3}">
  <sheetPr codeName="Folha20"/>
  <dimension ref="C1:K11"/>
  <sheetViews>
    <sheetView workbookViewId="0">
      <selection activeCell="J2" sqref="J2:K4"/>
    </sheetView>
  </sheetViews>
  <sheetFormatPr defaultRowHeight="15"/>
  <cols>
    <col min="3" max="3" width="20.140625" bestFit="1" customWidth="1"/>
    <col min="4" max="4" width="14.140625" bestFit="1" customWidth="1"/>
    <col min="5" max="5" width="40.28515625" bestFit="1" customWidth="1"/>
    <col min="6" max="6" width="8.140625" bestFit="1" customWidth="1"/>
    <col min="7" max="7" width="6.5703125" bestFit="1" customWidth="1"/>
    <col min="8" max="8" width="7.7109375" bestFit="1" customWidth="1"/>
  </cols>
  <sheetData>
    <row r="1" spans="3:11" ht="15.75" thickBot="1"/>
    <row r="2" spans="3:11" ht="15" customHeight="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 ht="15" customHeight="1">
      <c r="C3" s="25" t="s">
        <v>76</v>
      </c>
      <c r="D3" s="26">
        <v>5600413207055</v>
      </c>
      <c r="E3" s="25" t="s">
        <v>77</v>
      </c>
      <c r="F3" s="27">
        <v>20</v>
      </c>
      <c r="G3" s="16">
        <v>119.2</v>
      </c>
      <c r="H3">
        <f t="shared" ref="H3:H9" si="0">G3/$E$11</f>
        <v>100.97416349004658</v>
      </c>
      <c r="J3" s="166"/>
      <c r="K3" s="167"/>
    </row>
    <row r="4" spans="3:11" ht="15.75" customHeight="1" thickBot="1">
      <c r="C4" s="25" t="s">
        <v>119</v>
      </c>
      <c r="D4" s="26" t="s">
        <v>143</v>
      </c>
      <c r="E4" s="25" t="s">
        <v>104</v>
      </c>
      <c r="F4" s="27">
        <v>20</v>
      </c>
      <c r="G4" s="16">
        <v>124.2</v>
      </c>
      <c r="H4">
        <f t="shared" si="0"/>
        <v>105.20965692503177</v>
      </c>
      <c r="J4" s="168"/>
      <c r="K4" s="169"/>
    </row>
    <row r="5" spans="3:11">
      <c r="C5" s="25" t="s">
        <v>18</v>
      </c>
      <c r="D5" s="26" t="s">
        <v>46</v>
      </c>
      <c r="E5" s="25" t="s">
        <v>426</v>
      </c>
      <c r="F5" s="27">
        <v>240</v>
      </c>
      <c r="G5" s="16">
        <v>45.3</v>
      </c>
      <c r="H5">
        <f t="shared" si="0"/>
        <v>38.373570520965686</v>
      </c>
    </row>
    <row r="6" spans="3:11">
      <c r="C6" s="25" t="s">
        <v>20</v>
      </c>
      <c r="D6" s="26" t="s">
        <v>427</v>
      </c>
      <c r="E6" s="25" t="s">
        <v>428</v>
      </c>
      <c r="F6" s="27">
        <v>50</v>
      </c>
      <c r="G6" s="16">
        <v>45.3</v>
      </c>
      <c r="H6">
        <f t="shared" si="0"/>
        <v>38.373570520965686</v>
      </c>
    </row>
    <row r="7" spans="3:11">
      <c r="C7" s="25" t="s">
        <v>93</v>
      </c>
      <c r="D7" s="26" t="s">
        <v>429</v>
      </c>
      <c r="E7" s="25" t="s">
        <v>430</v>
      </c>
      <c r="F7" s="27">
        <v>40</v>
      </c>
      <c r="G7" s="16">
        <v>45.3</v>
      </c>
      <c r="H7">
        <f t="shared" si="0"/>
        <v>38.373570520965686</v>
      </c>
    </row>
    <row r="8" spans="3:11">
      <c r="C8" s="25"/>
      <c r="D8" s="26"/>
      <c r="E8" s="25"/>
      <c r="F8" s="27"/>
      <c r="G8" s="16"/>
      <c r="H8">
        <f t="shared" si="0"/>
        <v>0</v>
      </c>
    </row>
    <row r="9" spans="3:11">
      <c r="C9" s="25"/>
      <c r="D9" s="26"/>
      <c r="E9" s="25"/>
      <c r="F9" s="27"/>
      <c r="G9" s="16"/>
      <c r="H9">
        <f t="shared" si="0"/>
        <v>0</v>
      </c>
    </row>
    <row r="11" spans="3:11">
      <c r="D11" s="25" t="s">
        <v>61</v>
      </c>
      <c r="E11" s="25">
        <v>1.1805000000000001</v>
      </c>
    </row>
  </sheetData>
  <mergeCells count="1">
    <mergeCell ref="J2:K4"/>
  </mergeCells>
  <hyperlinks>
    <hyperlink ref="J2:K4" location="Fornecedores_Contentores!A1" display="INICIO" xr:uid="{352ED291-4747-405B-8A06-1A48624A3296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97421-6F98-47F3-A9F0-40BC2E6988F0}">
  <sheetPr codeName="Folha21"/>
  <dimension ref="C1:K11"/>
  <sheetViews>
    <sheetView workbookViewId="0">
      <selection activeCell="J2" sqref="J2:K4"/>
    </sheetView>
  </sheetViews>
  <sheetFormatPr defaultRowHeight="15"/>
  <cols>
    <col min="3" max="3" width="12.140625" bestFit="1" customWidth="1"/>
    <col min="4" max="4" width="14.140625" bestFit="1" customWidth="1"/>
    <col min="5" max="5" width="37" bestFit="1" customWidth="1"/>
    <col min="6" max="6" width="8.1406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245</v>
      </c>
      <c r="D3" s="26" t="s">
        <v>246</v>
      </c>
      <c r="E3" s="25" t="s">
        <v>300</v>
      </c>
      <c r="F3" s="27">
        <v>357</v>
      </c>
      <c r="G3" s="16">
        <v>84.42</v>
      </c>
      <c r="H3">
        <f t="shared" ref="H3:H9" si="0">G3/$E$11</f>
        <v>71.512071156289707</v>
      </c>
      <c r="J3" s="166"/>
      <c r="K3" s="167"/>
    </row>
    <row r="4" spans="3:11" ht="15.75" thickBot="1">
      <c r="C4" s="25"/>
      <c r="D4" s="26"/>
      <c r="E4" s="25"/>
      <c r="F4" s="27"/>
      <c r="G4" s="16"/>
      <c r="H4">
        <f t="shared" si="0"/>
        <v>0</v>
      </c>
      <c r="J4" s="168"/>
      <c r="K4" s="169"/>
    </row>
    <row r="5" spans="3:11">
      <c r="C5" s="25"/>
      <c r="D5" s="26"/>
      <c r="E5" s="25"/>
      <c r="F5" s="27"/>
      <c r="G5" s="16"/>
      <c r="H5">
        <f t="shared" si="0"/>
        <v>0</v>
      </c>
    </row>
    <row r="6" spans="3:11">
      <c r="C6" s="25"/>
      <c r="D6" s="26"/>
      <c r="E6" s="25"/>
      <c r="F6" s="27"/>
      <c r="G6" s="16"/>
      <c r="H6">
        <f t="shared" si="0"/>
        <v>0</v>
      </c>
    </row>
    <row r="7" spans="3:11">
      <c r="C7" s="25"/>
      <c r="D7" s="26"/>
      <c r="E7" s="25"/>
      <c r="F7" s="27"/>
      <c r="G7" s="16"/>
      <c r="H7">
        <f t="shared" si="0"/>
        <v>0</v>
      </c>
    </row>
    <row r="8" spans="3:11">
      <c r="C8" s="25"/>
      <c r="D8" s="26"/>
      <c r="E8" s="25"/>
      <c r="F8" s="27"/>
      <c r="G8" s="16"/>
      <c r="H8">
        <f t="shared" si="0"/>
        <v>0</v>
      </c>
    </row>
    <row r="9" spans="3:11">
      <c r="C9" s="25"/>
      <c r="D9" s="26"/>
      <c r="E9" s="25"/>
      <c r="F9" s="27"/>
      <c r="G9" s="16"/>
      <c r="H9">
        <f t="shared" si="0"/>
        <v>0</v>
      </c>
    </row>
    <row r="11" spans="3:11">
      <c r="D11" s="25" t="s">
        <v>61</v>
      </c>
      <c r="E11" s="25">
        <v>1.1805000000000001</v>
      </c>
    </row>
  </sheetData>
  <mergeCells count="1">
    <mergeCell ref="J2:K4"/>
  </mergeCells>
  <hyperlinks>
    <hyperlink ref="J2:K4" location="Fornecedores_Contentores!A1" display="INICIO" xr:uid="{F488B891-4DFD-4171-A350-144860BACB62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6D01C-BFD8-467B-BAF1-2F75B2C31A9D}">
  <sheetPr codeName="Folha22"/>
  <dimension ref="C1:K13"/>
  <sheetViews>
    <sheetView workbookViewId="0">
      <selection activeCell="J2" sqref="J2:K4"/>
    </sheetView>
  </sheetViews>
  <sheetFormatPr defaultRowHeight="15"/>
  <cols>
    <col min="3" max="3" width="18" bestFit="1" customWidth="1"/>
    <col min="4" max="4" width="14.140625" bestFit="1" customWidth="1"/>
    <col min="5" max="5" width="41.42578125" bestFit="1" customWidth="1"/>
    <col min="6" max="6" width="8.1406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399</v>
      </c>
      <c r="D3" s="26" t="s">
        <v>400</v>
      </c>
      <c r="E3" s="25" t="s">
        <v>401</v>
      </c>
      <c r="F3" s="27">
        <v>100</v>
      </c>
      <c r="G3" s="16">
        <v>10.9</v>
      </c>
      <c r="H3">
        <f t="shared" ref="H3:H11" si="0">G3/$E$13</f>
        <v>9.3925032313657901</v>
      </c>
      <c r="J3" s="166"/>
      <c r="K3" s="167"/>
    </row>
    <row r="4" spans="3:11" ht="15.75" thickBot="1">
      <c r="C4" s="25" t="s">
        <v>402</v>
      </c>
      <c r="D4" s="26" t="s">
        <v>403</v>
      </c>
      <c r="E4" s="25" t="s">
        <v>404</v>
      </c>
      <c r="F4" s="27">
        <v>100</v>
      </c>
      <c r="G4" s="16">
        <v>11.7</v>
      </c>
      <c r="H4">
        <f t="shared" si="0"/>
        <v>10.081861266695389</v>
      </c>
      <c r="J4" s="168"/>
      <c r="K4" s="169"/>
    </row>
    <row r="5" spans="3:11">
      <c r="C5" s="25" t="s">
        <v>405</v>
      </c>
      <c r="D5" s="26" t="s">
        <v>406</v>
      </c>
      <c r="E5" s="25" t="s">
        <v>407</v>
      </c>
      <c r="F5" s="27">
        <v>100</v>
      </c>
      <c r="G5" s="16">
        <v>22.1</v>
      </c>
      <c r="H5">
        <f t="shared" si="0"/>
        <v>19.043515725980182</v>
      </c>
    </row>
    <row r="6" spans="3:11">
      <c r="C6" s="25" t="s">
        <v>408</v>
      </c>
      <c r="D6" s="26" t="s">
        <v>409</v>
      </c>
      <c r="E6" s="25" t="s">
        <v>410</v>
      </c>
      <c r="F6" s="27">
        <v>240</v>
      </c>
      <c r="G6" s="16">
        <v>12.67</v>
      </c>
      <c r="H6">
        <f t="shared" si="0"/>
        <v>10.917707884532529</v>
      </c>
    </row>
    <row r="7" spans="3:11">
      <c r="C7" s="9" t="s">
        <v>411</v>
      </c>
      <c r="D7" s="15" t="s">
        <v>412</v>
      </c>
      <c r="E7" s="9" t="s">
        <v>413</v>
      </c>
      <c r="F7" s="17">
        <v>1000</v>
      </c>
      <c r="G7" s="16">
        <v>37.299999999999997</v>
      </c>
      <c r="H7">
        <f t="shared" si="0"/>
        <v>32.141318397242564</v>
      </c>
    </row>
    <row r="8" spans="3:11">
      <c r="C8" s="9" t="s">
        <v>414</v>
      </c>
      <c r="D8" s="15" t="s">
        <v>415</v>
      </c>
      <c r="E8" s="9" t="s">
        <v>416</v>
      </c>
      <c r="F8" s="17">
        <v>1000</v>
      </c>
      <c r="G8" s="16">
        <v>30.4</v>
      </c>
      <c r="H8">
        <f t="shared" si="0"/>
        <v>26.195605342524772</v>
      </c>
    </row>
    <row r="9" spans="3:11">
      <c r="C9" s="25" t="s">
        <v>417</v>
      </c>
      <c r="D9" s="26" t="s">
        <v>418</v>
      </c>
      <c r="E9" s="25" t="s">
        <v>419</v>
      </c>
      <c r="F9" s="27">
        <v>500</v>
      </c>
      <c r="G9" s="16">
        <v>41.7</v>
      </c>
      <c r="H9">
        <f t="shared" si="0"/>
        <v>35.932787591555361</v>
      </c>
    </row>
    <row r="10" spans="3:11">
      <c r="C10" s="25" t="s">
        <v>420</v>
      </c>
      <c r="D10" s="26" t="s">
        <v>421</v>
      </c>
      <c r="E10" s="25" t="s">
        <v>422</v>
      </c>
      <c r="F10" s="27">
        <v>500</v>
      </c>
      <c r="G10" s="16">
        <v>9.8000000000000007</v>
      </c>
      <c r="H10">
        <f t="shared" si="0"/>
        <v>8.4446359327875911</v>
      </c>
    </row>
    <row r="11" spans="3:11">
      <c r="C11" s="25" t="s">
        <v>423</v>
      </c>
      <c r="D11" s="26" t="s">
        <v>424</v>
      </c>
      <c r="E11" s="25" t="s">
        <v>425</v>
      </c>
      <c r="F11" s="27">
        <v>500</v>
      </c>
      <c r="G11" s="16">
        <v>9.8000000000000007</v>
      </c>
      <c r="H11">
        <f t="shared" si="0"/>
        <v>8.4446359327875911</v>
      </c>
    </row>
    <row r="13" spans="3:11">
      <c r="D13" s="25" t="s">
        <v>61</v>
      </c>
      <c r="E13" s="25">
        <v>1.1605000000000001</v>
      </c>
    </row>
  </sheetData>
  <mergeCells count="1">
    <mergeCell ref="J2:K4"/>
  </mergeCells>
  <hyperlinks>
    <hyperlink ref="J2:K4" location="Fornecedores_Contentores!A1" display="INICIO" xr:uid="{AC4D9591-BB2B-41A1-8A50-B875A9431968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3FD9-2E35-42C6-BF13-B7C3EB6B7999}">
  <sheetPr codeName="Folha23"/>
  <dimension ref="C1:K44"/>
  <sheetViews>
    <sheetView workbookViewId="0">
      <selection activeCell="J2" sqref="J2:K4"/>
    </sheetView>
  </sheetViews>
  <sheetFormatPr defaultRowHeight="15"/>
  <cols>
    <col min="3" max="3" width="31.28515625" bestFit="1" customWidth="1"/>
    <col min="4" max="4" width="14.140625" bestFit="1" customWidth="1"/>
    <col min="5" max="5" width="63.42578125" bestFit="1" customWidth="1"/>
    <col min="6" max="6" width="8.1406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336</v>
      </c>
      <c r="D3" s="26" t="s">
        <v>337</v>
      </c>
      <c r="E3" s="25" t="s">
        <v>338</v>
      </c>
      <c r="F3" s="25">
        <v>500</v>
      </c>
      <c r="G3" s="16">
        <v>4.5</v>
      </c>
      <c r="H3">
        <f t="shared" ref="H3:H42" si="0">G3/$E$44</f>
        <v>3.8119440914866578</v>
      </c>
      <c r="J3" s="166"/>
      <c r="K3" s="167"/>
    </row>
    <row r="4" spans="3:11" ht="15.75" thickBot="1">
      <c r="C4" s="25" t="s">
        <v>339</v>
      </c>
      <c r="D4" s="26" t="s">
        <v>340</v>
      </c>
      <c r="E4" s="25" t="s">
        <v>341</v>
      </c>
      <c r="F4" s="25">
        <v>200</v>
      </c>
      <c r="G4" s="16">
        <v>8.5</v>
      </c>
      <c r="H4">
        <f t="shared" si="0"/>
        <v>7.2003388394747985</v>
      </c>
      <c r="J4" s="168"/>
      <c r="K4" s="169"/>
    </row>
    <row r="5" spans="3:11">
      <c r="C5" s="25" t="s">
        <v>342</v>
      </c>
      <c r="D5" s="26" t="s">
        <v>343</v>
      </c>
      <c r="E5" s="25" t="s">
        <v>344</v>
      </c>
      <c r="F5" s="25">
        <v>1000</v>
      </c>
      <c r="G5" s="16">
        <v>2.8</v>
      </c>
      <c r="H5">
        <f t="shared" si="0"/>
        <v>2.3718763235916982</v>
      </c>
    </row>
    <row r="6" spans="3:11">
      <c r="C6" s="25" t="s">
        <v>345</v>
      </c>
      <c r="D6" s="26" t="s">
        <v>346</v>
      </c>
      <c r="E6" s="25" t="s">
        <v>347</v>
      </c>
      <c r="F6" s="25">
        <v>1000</v>
      </c>
      <c r="G6" s="16">
        <v>1.35</v>
      </c>
      <c r="H6">
        <f t="shared" si="0"/>
        <v>1.1435832274459974</v>
      </c>
    </row>
    <row r="7" spans="3:11">
      <c r="C7" s="25" t="s">
        <v>348</v>
      </c>
      <c r="D7" s="26" t="s">
        <v>349</v>
      </c>
      <c r="E7" s="25" t="s">
        <v>350</v>
      </c>
      <c r="F7" s="25">
        <v>1000</v>
      </c>
      <c r="G7" s="16">
        <v>2.25</v>
      </c>
      <c r="H7">
        <f t="shared" si="0"/>
        <v>1.9059720457433289</v>
      </c>
    </row>
    <row r="8" spans="3:11">
      <c r="C8" s="25" t="s">
        <v>351</v>
      </c>
      <c r="D8" s="26" t="s">
        <v>352</v>
      </c>
      <c r="E8" s="25" t="s">
        <v>353</v>
      </c>
      <c r="F8" s="25">
        <v>500</v>
      </c>
      <c r="G8" s="16">
        <v>2.6</v>
      </c>
      <c r="H8">
        <f t="shared" si="0"/>
        <v>2.2024565861922913</v>
      </c>
    </row>
    <row r="9" spans="3:11">
      <c r="C9" s="25" t="s">
        <v>354</v>
      </c>
      <c r="D9" s="26" t="s">
        <v>355</v>
      </c>
      <c r="E9" s="25" t="s">
        <v>356</v>
      </c>
      <c r="F9" s="25">
        <v>500</v>
      </c>
      <c r="G9" s="16">
        <v>4.3499999999999996</v>
      </c>
      <c r="H9">
        <f t="shared" si="0"/>
        <v>3.6848792884371022</v>
      </c>
    </row>
    <row r="10" spans="3:11">
      <c r="C10" s="25" t="s">
        <v>357</v>
      </c>
      <c r="D10" s="26" t="s">
        <v>358</v>
      </c>
      <c r="E10" s="25" t="s">
        <v>359</v>
      </c>
      <c r="F10" s="25">
        <v>500</v>
      </c>
      <c r="G10">
        <v>4.3499999999999996</v>
      </c>
      <c r="H10">
        <f t="shared" si="0"/>
        <v>3.6848792884371022</v>
      </c>
    </row>
    <row r="11" spans="3:11">
      <c r="C11" s="25" t="s">
        <v>360</v>
      </c>
      <c r="D11" s="26" t="s">
        <v>361</v>
      </c>
      <c r="E11" s="25" t="s">
        <v>362</v>
      </c>
      <c r="F11" s="25">
        <v>500</v>
      </c>
      <c r="G11">
        <v>0.9</v>
      </c>
      <c r="H11">
        <f t="shared" si="0"/>
        <v>0.76238881829733163</v>
      </c>
    </row>
    <row r="12" spans="3:11">
      <c r="C12" s="25" t="s">
        <v>363</v>
      </c>
      <c r="D12" s="26" t="s">
        <v>364</v>
      </c>
      <c r="E12" s="25" t="s">
        <v>365</v>
      </c>
      <c r="F12" s="25">
        <v>500</v>
      </c>
      <c r="G12">
        <v>0.55000000000000004</v>
      </c>
      <c r="H12">
        <f t="shared" si="0"/>
        <v>0.46590427784836935</v>
      </c>
    </row>
    <row r="13" spans="3:11">
      <c r="C13" s="35" t="s">
        <v>366</v>
      </c>
      <c r="D13" s="36">
        <v>5600413208069</v>
      </c>
      <c r="E13" s="35" t="s">
        <v>367</v>
      </c>
      <c r="F13" s="37">
        <v>500</v>
      </c>
      <c r="G13">
        <v>12.28</v>
      </c>
      <c r="H13">
        <f t="shared" si="0"/>
        <v>10.40237187632359</v>
      </c>
    </row>
    <row r="14" spans="3:11">
      <c r="C14" s="35" t="s">
        <v>368</v>
      </c>
      <c r="D14" s="36">
        <v>5600413208076</v>
      </c>
      <c r="E14" s="35" t="s">
        <v>369</v>
      </c>
      <c r="F14" s="37">
        <v>500</v>
      </c>
      <c r="G14">
        <v>12.28</v>
      </c>
      <c r="H14">
        <f t="shared" si="0"/>
        <v>10.40237187632359</v>
      </c>
    </row>
    <row r="15" spans="3:11">
      <c r="C15" s="35" t="s">
        <v>370</v>
      </c>
      <c r="D15" s="36">
        <v>5600413207505</v>
      </c>
      <c r="E15" s="35" t="s">
        <v>371</v>
      </c>
      <c r="F15" s="37">
        <v>1000</v>
      </c>
      <c r="G15">
        <v>8.5</v>
      </c>
      <c r="H15">
        <f t="shared" si="0"/>
        <v>7.2003388394747985</v>
      </c>
    </row>
    <row r="16" spans="3:11">
      <c r="C16" s="35" t="s">
        <v>372</v>
      </c>
      <c r="D16" s="36">
        <v>5600413207529</v>
      </c>
      <c r="E16" s="35" t="s">
        <v>373</v>
      </c>
      <c r="F16" s="37">
        <v>250</v>
      </c>
      <c r="G16">
        <v>2.5</v>
      </c>
      <c r="H16">
        <f t="shared" si="0"/>
        <v>2.1177467174925879</v>
      </c>
    </row>
    <row r="17" spans="3:8">
      <c r="C17" s="35" t="s">
        <v>374</v>
      </c>
      <c r="D17" s="36">
        <v>5600413207536</v>
      </c>
      <c r="E17" s="35" t="s">
        <v>375</v>
      </c>
      <c r="F17" s="37">
        <v>250</v>
      </c>
      <c r="G17">
        <v>2.65</v>
      </c>
      <c r="H17">
        <f t="shared" si="0"/>
        <v>2.2448115205421431</v>
      </c>
    </row>
    <row r="18" spans="3:8">
      <c r="C18" s="35" t="s">
        <v>376</v>
      </c>
      <c r="D18" s="36">
        <v>5600413208083</v>
      </c>
      <c r="E18" s="35" t="s">
        <v>377</v>
      </c>
      <c r="F18" s="37">
        <v>250</v>
      </c>
      <c r="G18">
        <v>2.5</v>
      </c>
      <c r="H18">
        <f t="shared" si="0"/>
        <v>2.1177467174925879</v>
      </c>
    </row>
    <row r="19" spans="3:8">
      <c r="C19" s="35" t="s">
        <v>378</v>
      </c>
      <c r="D19" s="36">
        <v>5600413208090</v>
      </c>
      <c r="E19" s="35" t="s">
        <v>379</v>
      </c>
      <c r="F19" s="37">
        <v>250</v>
      </c>
      <c r="G19">
        <v>2.65</v>
      </c>
      <c r="H19">
        <f t="shared" si="0"/>
        <v>2.2448115205421431</v>
      </c>
    </row>
    <row r="20" spans="3:8">
      <c r="C20" s="35" t="s">
        <v>380</v>
      </c>
      <c r="D20" s="36">
        <v>5600413207567</v>
      </c>
      <c r="E20" s="35" t="s">
        <v>381</v>
      </c>
      <c r="F20" s="37">
        <v>250</v>
      </c>
      <c r="G20">
        <v>13</v>
      </c>
      <c r="H20">
        <f t="shared" si="0"/>
        <v>11.012282930961456</v>
      </c>
    </row>
    <row r="21" spans="3:8">
      <c r="C21" s="35" t="s">
        <v>382</v>
      </c>
      <c r="D21" s="36">
        <v>5600413207574</v>
      </c>
      <c r="E21" s="35" t="s">
        <v>383</v>
      </c>
      <c r="F21" s="37">
        <v>250</v>
      </c>
      <c r="G21">
        <v>13.5</v>
      </c>
      <c r="H21">
        <f t="shared" si="0"/>
        <v>11.435832274459974</v>
      </c>
    </row>
    <row r="22" spans="3:8">
      <c r="C22" s="35" t="s">
        <v>384</v>
      </c>
      <c r="D22" s="36">
        <v>5600413207604</v>
      </c>
      <c r="E22" s="35" t="s">
        <v>385</v>
      </c>
      <c r="F22" s="37">
        <v>250</v>
      </c>
      <c r="G22">
        <v>11</v>
      </c>
      <c r="H22">
        <f t="shared" si="0"/>
        <v>9.3180855569673859</v>
      </c>
    </row>
    <row r="23" spans="3:8">
      <c r="C23" s="35" t="s">
        <v>386</v>
      </c>
      <c r="D23" s="36">
        <v>5600413207611</v>
      </c>
      <c r="E23" s="35" t="s">
        <v>387</v>
      </c>
      <c r="F23" s="37">
        <v>250</v>
      </c>
      <c r="G23">
        <v>11.5</v>
      </c>
      <c r="H23">
        <f t="shared" si="0"/>
        <v>9.741634900465904</v>
      </c>
    </row>
    <row r="24" spans="3:8">
      <c r="C24" s="35" t="s">
        <v>388</v>
      </c>
      <c r="D24" s="36" t="s">
        <v>389</v>
      </c>
      <c r="E24" s="35" t="s">
        <v>390</v>
      </c>
      <c r="F24" s="37">
        <v>500</v>
      </c>
      <c r="G24">
        <v>37</v>
      </c>
      <c r="H24">
        <f t="shared" si="0"/>
        <v>31.342651418890298</v>
      </c>
    </row>
    <row r="25" spans="3:8">
      <c r="C25" s="35" t="s">
        <v>391</v>
      </c>
      <c r="D25" s="36">
        <v>5600413208120</v>
      </c>
      <c r="E25" s="35" t="s">
        <v>392</v>
      </c>
      <c r="F25" s="37">
        <v>210</v>
      </c>
      <c r="G25">
        <v>23.5</v>
      </c>
      <c r="H25">
        <f t="shared" si="0"/>
        <v>19.906819144430326</v>
      </c>
    </row>
    <row r="26" spans="3:8">
      <c r="C26" s="35" t="s">
        <v>393</v>
      </c>
      <c r="D26" s="36">
        <v>5600413208106</v>
      </c>
      <c r="E26" s="35" t="s">
        <v>394</v>
      </c>
      <c r="F26" s="37">
        <v>200</v>
      </c>
      <c r="G26">
        <v>27.7</v>
      </c>
      <c r="H26">
        <f t="shared" si="0"/>
        <v>23.464633629817872</v>
      </c>
    </row>
    <row r="27" spans="3:8">
      <c r="C27" s="35" t="s">
        <v>395</v>
      </c>
      <c r="D27" s="36">
        <v>5600413208113</v>
      </c>
      <c r="E27" s="35" t="s">
        <v>396</v>
      </c>
      <c r="F27" s="37">
        <v>200</v>
      </c>
      <c r="G27">
        <v>29.2</v>
      </c>
      <c r="H27">
        <f t="shared" si="0"/>
        <v>24.735281660313422</v>
      </c>
    </row>
    <row r="28" spans="3:8">
      <c r="C28" s="38" t="s">
        <v>207</v>
      </c>
      <c r="D28" s="39">
        <v>5600413208045</v>
      </c>
      <c r="E28" s="40" t="s">
        <v>213</v>
      </c>
      <c r="F28" s="37">
        <v>26</v>
      </c>
      <c r="G28">
        <v>26.9</v>
      </c>
      <c r="H28">
        <f t="shared" si="0"/>
        <v>22.786954680220241</v>
      </c>
    </row>
    <row r="29" spans="3:8">
      <c r="C29" s="25"/>
      <c r="D29" s="26"/>
      <c r="E29" s="25"/>
      <c r="F29" s="27"/>
      <c r="H29">
        <f t="shared" si="0"/>
        <v>0</v>
      </c>
    </row>
    <row r="30" spans="3:8">
      <c r="C30" s="25"/>
      <c r="D30" s="26"/>
      <c r="E30" s="25"/>
      <c r="F30" s="27"/>
      <c r="H30">
        <f t="shared" si="0"/>
        <v>0</v>
      </c>
    </row>
    <row r="31" spans="3:8">
      <c r="C31" s="25"/>
      <c r="D31" s="26"/>
      <c r="E31" s="25"/>
      <c r="F31" s="27"/>
      <c r="H31">
        <f t="shared" si="0"/>
        <v>0</v>
      </c>
    </row>
    <row r="32" spans="3:8">
      <c r="C32" s="25"/>
      <c r="D32" s="26"/>
      <c r="E32" s="25"/>
      <c r="F32" s="27"/>
      <c r="H32">
        <f t="shared" si="0"/>
        <v>0</v>
      </c>
    </row>
    <row r="33" spans="3:8">
      <c r="C33" s="25"/>
      <c r="D33" s="26"/>
      <c r="E33" s="25"/>
      <c r="F33" s="27"/>
      <c r="H33">
        <f t="shared" si="0"/>
        <v>0</v>
      </c>
    </row>
    <row r="34" spans="3:8">
      <c r="C34" s="25"/>
      <c r="D34" s="26"/>
      <c r="E34" s="25"/>
      <c r="F34" s="27"/>
      <c r="H34">
        <f t="shared" si="0"/>
        <v>0</v>
      </c>
    </row>
    <row r="35" spans="3:8">
      <c r="C35" s="25"/>
      <c r="D35" s="26"/>
      <c r="E35" s="25"/>
      <c r="F35" s="27"/>
      <c r="H35">
        <f t="shared" si="0"/>
        <v>0</v>
      </c>
    </row>
    <row r="36" spans="3:8">
      <c r="C36" s="25"/>
      <c r="D36" s="26"/>
      <c r="E36" s="25"/>
      <c r="F36" s="27"/>
      <c r="H36">
        <f t="shared" si="0"/>
        <v>0</v>
      </c>
    </row>
    <row r="37" spans="3:8">
      <c r="C37" s="25"/>
      <c r="D37" s="26"/>
      <c r="E37" s="25"/>
      <c r="F37" s="27"/>
      <c r="H37">
        <f t="shared" si="0"/>
        <v>0</v>
      </c>
    </row>
    <row r="38" spans="3:8">
      <c r="C38" s="25"/>
      <c r="D38" s="26"/>
      <c r="E38" s="25"/>
      <c r="F38" s="27"/>
      <c r="H38">
        <f t="shared" si="0"/>
        <v>0</v>
      </c>
    </row>
    <row r="39" spans="3:8">
      <c r="C39" s="25"/>
      <c r="D39" s="26"/>
      <c r="E39" s="25"/>
      <c r="F39" s="27"/>
      <c r="H39">
        <f t="shared" si="0"/>
        <v>0</v>
      </c>
    </row>
    <row r="40" spans="3:8">
      <c r="C40" s="25"/>
      <c r="D40" s="26"/>
      <c r="E40" s="25"/>
      <c r="F40" s="27"/>
      <c r="H40">
        <f t="shared" si="0"/>
        <v>0</v>
      </c>
    </row>
    <row r="41" spans="3:8">
      <c r="C41" s="25"/>
      <c r="D41" s="26"/>
      <c r="E41" s="25"/>
      <c r="F41" s="27"/>
      <c r="H41">
        <f t="shared" si="0"/>
        <v>0</v>
      </c>
    </row>
    <row r="42" spans="3:8">
      <c r="C42" s="25"/>
      <c r="D42" s="26"/>
      <c r="E42" s="25"/>
      <c r="F42" s="27"/>
      <c r="H42">
        <f t="shared" si="0"/>
        <v>0</v>
      </c>
    </row>
    <row r="44" spans="3:8">
      <c r="D44" s="25" t="s">
        <v>61</v>
      </c>
      <c r="E44" s="25">
        <v>1.1805000000000001</v>
      </c>
    </row>
  </sheetData>
  <mergeCells count="1">
    <mergeCell ref="J2:K4"/>
  </mergeCells>
  <hyperlinks>
    <hyperlink ref="J2:K4" location="Fornecedores_Contentores!A1" display="INICIO" xr:uid="{6654AD87-4E17-4023-AC06-5A800ABD80A6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D379D-F792-46D3-B268-FA2511807B5E}">
  <sheetPr codeName="Folha24"/>
  <dimension ref="C1:K11"/>
  <sheetViews>
    <sheetView workbookViewId="0">
      <selection activeCell="J2" sqref="J2:K4"/>
    </sheetView>
  </sheetViews>
  <sheetFormatPr defaultRowHeight="15"/>
  <cols>
    <col min="3" max="3" width="19.140625" customWidth="1"/>
    <col min="4" max="4" width="14.140625" bestFit="1" customWidth="1"/>
    <col min="5" max="5" width="38.5703125" bestFit="1" customWidth="1"/>
    <col min="6" max="6" width="8.1406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45</v>
      </c>
      <c r="D3" s="26" t="s">
        <v>79</v>
      </c>
      <c r="E3" s="25" t="s">
        <v>327</v>
      </c>
      <c r="F3" s="27">
        <v>340</v>
      </c>
      <c r="G3" s="16">
        <v>98</v>
      </c>
      <c r="H3">
        <f t="shared" ref="H3:H9" si="0">G3/$E$11</f>
        <v>83.015671325709434</v>
      </c>
      <c r="J3" s="166"/>
      <c r="K3" s="167"/>
    </row>
    <row r="4" spans="3:11" ht="15.75" thickBot="1">
      <c r="C4" s="25"/>
      <c r="D4" s="26"/>
      <c r="E4" s="25"/>
      <c r="F4" s="27"/>
      <c r="G4" s="16"/>
      <c r="H4">
        <f t="shared" si="0"/>
        <v>0</v>
      </c>
      <c r="J4" s="168"/>
      <c r="K4" s="169"/>
    </row>
    <row r="5" spans="3:11">
      <c r="C5" s="25"/>
      <c r="D5" s="26"/>
      <c r="E5" s="25"/>
      <c r="F5" s="27"/>
      <c r="G5" s="16"/>
      <c r="H5">
        <f t="shared" si="0"/>
        <v>0</v>
      </c>
    </row>
    <row r="6" spans="3:11">
      <c r="C6" s="25"/>
      <c r="D6" s="26"/>
      <c r="E6" s="25"/>
      <c r="F6" s="27"/>
      <c r="G6" s="16"/>
      <c r="H6">
        <f t="shared" si="0"/>
        <v>0</v>
      </c>
    </row>
    <row r="7" spans="3:11">
      <c r="C7" s="25"/>
      <c r="D7" s="26"/>
      <c r="E7" s="25"/>
      <c r="F7" s="27"/>
      <c r="G7" s="16"/>
      <c r="H7">
        <f t="shared" si="0"/>
        <v>0</v>
      </c>
    </row>
    <row r="8" spans="3:11">
      <c r="C8" s="25"/>
      <c r="D8" s="26"/>
      <c r="E8" s="25"/>
      <c r="F8" s="27"/>
      <c r="G8" s="16"/>
      <c r="H8">
        <f t="shared" si="0"/>
        <v>0</v>
      </c>
    </row>
    <row r="9" spans="3:11">
      <c r="C9" s="25"/>
      <c r="D9" s="26"/>
      <c r="E9" s="25"/>
      <c r="F9" s="27"/>
      <c r="G9" s="16"/>
      <c r="H9">
        <f t="shared" si="0"/>
        <v>0</v>
      </c>
    </row>
    <row r="11" spans="3:11">
      <c r="D11" s="25" t="s">
        <v>61</v>
      </c>
      <c r="E11" s="25">
        <v>1.1805000000000001</v>
      </c>
    </row>
  </sheetData>
  <mergeCells count="1">
    <mergeCell ref="J2:K4"/>
  </mergeCells>
  <hyperlinks>
    <hyperlink ref="J2:K4" location="Fornecedores_Contentores!A1" display="INICIO" xr:uid="{727334C5-3535-4030-9A11-EE65DDA45E8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67847-B27B-4EDC-BFA3-7B991DF40227}">
  <sheetPr codeName="Folha25"/>
  <dimension ref="C1:K11"/>
  <sheetViews>
    <sheetView workbookViewId="0">
      <selection activeCell="J2" sqref="J2:K4"/>
    </sheetView>
  </sheetViews>
  <sheetFormatPr defaultRowHeight="15"/>
  <cols>
    <col min="3" max="3" width="18.140625" bestFit="1" customWidth="1"/>
    <col min="4" max="4" width="14.140625" bestFit="1" customWidth="1"/>
    <col min="5" max="5" width="48.7109375" bestFit="1" customWidth="1"/>
    <col min="6" max="6" width="8.1406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43</v>
      </c>
      <c r="D3" s="26" t="s">
        <v>83</v>
      </c>
      <c r="E3" s="25" t="s">
        <v>289</v>
      </c>
      <c r="F3" s="27">
        <v>55</v>
      </c>
      <c r="G3" s="16">
        <v>65.5</v>
      </c>
      <c r="H3">
        <f t="shared" ref="H3:H9" si="0">G3/$E$11</f>
        <v>55.484963998305801</v>
      </c>
      <c r="J3" s="166"/>
      <c r="K3" s="167"/>
    </row>
    <row r="4" spans="3:11" ht="15.75" thickBot="1">
      <c r="C4" s="25" t="s">
        <v>44</v>
      </c>
      <c r="D4" s="26" t="s">
        <v>73</v>
      </c>
      <c r="E4" s="25" t="s">
        <v>290</v>
      </c>
      <c r="F4" s="27">
        <v>165</v>
      </c>
      <c r="G4" s="16">
        <v>65.5</v>
      </c>
      <c r="H4">
        <f t="shared" si="0"/>
        <v>55.484963998305801</v>
      </c>
      <c r="J4" s="168"/>
      <c r="K4" s="169"/>
    </row>
    <row r="5" spans="3:11">
      <c r="C5" s="25" t="s">
        <v>45</v>
      </c>
      <c r="D5" s="26" t="s">
        <v>79</v>
      </c>
      <c r="E5" s="25" t="s">
        <v>327</v>
      </c>
      <c r="F5" s="27">
        <v>120</v>
      </c>
      <c r="G5" s="16">
        <v>98</v>
      </c>
      <c r="H5">
        <f t="shared" si="0"/>
        <v>83.015671325709434</v>
      </c>
    </row>
    <row r="6" spans="3:11">
      <c r="C6" s="25" t="s">
        <v>42</v>
      </c>
      <c r="D6" s="26" t="s">
        <v>81</v>
      </c>
      <c r="E6" s="25" t="s">
        <v>288</v>
      </c>
      <c r="F6" s="27">
        <v>60</v>
      </c>
      <c r="G6" s="16">
        <v>60.5</v>
      </c>
      <c r="H6">
        <f t="shared" si="0"/>
        <v>51.249470563320621</v>
      </c>
    </row>
    <row r="7" spans="3:11">
      <c r="C7" s="25"/>
      <c r="D7" s="26"/>
      <c r="E7" s="25"/>
      <c r="F7" s="27"/>
      <c r="G7" s="16"/>
      <c r="H7">
        <f t="shared" si="0"/>
        <v>0</v>
      </c>
    </row>
    <row r="8" spans="3:11">
      <c r="C8" s="25"/>
      <c r="D8" s="26"/>
      <c r="E8" s="25"/>
      <c r="F8" s="27"/>
      <c r="G8" s="16"/>
      <c r="H8">
        <f t="shared" si="0"/>
        <v>0</v>
      </c>
    </row>
    <row r="9" spans="3:11">
      <c r="C9" s="25"/>
      <c r="D9" s="26"/>
      <c r="E9" s="25"/>
      <c r="F9" s="27"/>
      <c r="G9" s="16"/>
      <c r="H9">
        <f t="shared" si="0"/>
        <v>0</v>
      </c>
    </row>
    <row r="11" spans="3:11">
      <c r="D11" s="25" t="s">
        <v>61</v>
      </c>
      <c r="E11" s="25">
        <v>1.1805000000000001</v>
      </c>
    </row>
  </sheetData>
  <mergeCells count="1">
    <mergeCell ref="J2:K4"/>
  </mergeCells>
  <hyperlinks>
    <hyperlink ref="J2:K4" location="Fornecedores_Contentores!A1" display="INICIO" xr:uid="{DEFB3983-148A-46C8-AE67-1364023F91DE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8BA7-5F16-402F-8EB2-D12CF2616C6D}">
  <sheetPr codeName="Folha26"/>
  <dimension ref="C1:K11"/>
  <sheetViews>
    <sheetView workbookViewId="0">
      <selection activeCell="J2" sqref="J2:K4"/>
    </sheetView>
  </sheetViews>
  <sheetFormatPr defaultRowHeight="15"/>
  <cols>
    <col min="3" max="3" width="23.42578125" bestFit="1" customWidth="1"/>
    <col min="4" max="4" width="14.140625" bestFit="1" customWidth="1"/>
    <col min="5" max="5" width="38.5703125" bestFit="1" customWidth="1"/>
    <col min="6" max="6" width="8.140625" bestFit="1" customWidth="1"/>
    <col min="7" max="7" width="5.5703125" bestFit="1" customWidth="1"/>
    <col min="8" max="8" width="7.710937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45</v>
      </c>
      <c r="D3" s="26" t="s">
        <v>79</v>
      </c>
      <c r="E3" s="25" t="s">
        <v>327</v>
      </c>
      <c r="F3" s="27">
        <v>340</v>
      </c>
      <c r="G3" s="16">
        <v>98</v>
      </c>
      <c r="H3">
        <f t="shared" ref="H3:H9" si="0">G3/$E$11</f>
        <v>83.015671325709434</v>
      </c>
      <c r="J3" s="166"/>
      <c r="K3" s="167"/>
    </row>
    <row r="4" spans="3:11" ht="15.75" thickBot="1">
      <c r="C4" s="25"/>
      <c r="D4" s="26"/>
      <c r="E4" s="25"/>
      <c r="F4" s="27"/>
      <c r="G4" s="16"/>
      <c r="H4">
        <f t="shared" si="0"/>
        <v>0</v>
      </c>
      <c r="J4" s="168"/>
      <c r="K4" s="169"/>
    </row>
    <row r="5" spans="3:11">
      <c r="C5" s="25"/>
      <c r="D5" s="26"/>
      <c r="E5" s="25"/>
      <c r="F5" s="27"/>
      <c r="G5" s="16"/>
      <c r="H5">
        <f t="shared" si="0"/>
        <v>0</v>
      </c>
    </row>
    <row r="6" spans="3:11">
      <c r="C6" s="25"/>
      <c r="D6" s="26"/>
      <c r="E6" s="25"/>
      <c r="F6" s="27"/>
      <c r="G6" s="16"/>
      <c r="H6">
        <f t="shared" si="0"/>
        <v>0</v>
      </c>
    </row>
    <row r="7" spans="3:11">
      <c r="C7" s="25"/>
      <c r="D7" s="26"/>
      <c r="E7" s="25"/>
      <c r="F7" s="27"/>
      <c r="G7" s="16"/>
      <c r="H7">
        <f t="shared" si="0"/>
        <v>0</v>
      </c>
    </row>
    <row r="8" spans="3:11">
      <c r="C8" s="25"/>
      <c r="D8" s="26"/>
      <c r="E8" s="25"/>
      <c r="F8" s="27"/>
      <c r="G8" s="16"/>
      <c r="H8">
        <f t="shared" si="0"/>
        <v>0</v>
      </c>
    </row>
    <row r="9" spans="3:11">
      <c r="C9" s="25"/>
      <c r="D9" s="26"/>
      <c r="E9" s="25"/>
      <c r="F9" s="27"/>
      <c r="G9" s="16"/>
      <c r="H9">
        <f t="shared" si="0"/>
        <v>0</v>
      </c>
    </row>
    <row r="11" spans="3:11">
      <c r="D11" s="25" t="s">
        <v>61</v>
      </c>
      <c r="E11" s="25">
        <v>1.1805000000000001</v>
      </c>
    </row>
  </sheetData>
  <mergeCells count="1">
    <mergeCell ref="J2:K4"/>
  </mergeCells>
  <hyperlinks>
    <hyperlink ref="J2:K4" location="Fornecedores_Contentores!A1" display="INICIO" xr:uid="{B8383FC0-F909-4CCC-B266-CB8909A296FE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92EB-F442-46D4-A450-909ABC09B4BF}">
  <sheetPr codeName="Folha27"/>
  <dimension ref="C1:K11"/>
  <sheetViews>
    <sheetView workbookViewId="0">
      <selection activeCell="J2" sqref="J2:K4"/>
    </sheetView>
  </sheetViews>
  <sheetFormatPr defaultRowHeight="15"/>
  <cols>
    <col min="3" max="3" width="23.42578125" bestFit="1" customWidth="1"/>
    <col min="4" max="4" width="14.140625" bestFit="1" customWidth="1"/>
    <col min="5" max="5" width="38.5703125" bestFit="1" customWidth="1"/>
    <col min="6" max="6" width="8.1406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131</v>
      </c>
      <c r="D3" s="26" t="s">
        <v>139</v>
      </c>
      <c r="E3" s="25" t="s">
        <v>132</v>
      </c>
      <c r="F3" s="27">
        <v>390</v>
      </c>
      <c r="G3" s="16">
        <v>69.010000000000005</v>
      </c>
      <c r="H3">
        <f t="shared" ref="H3:H9" si="0">G3/$E$11</f>
        <v>57.850616145527709</v>
      </c>
      <c r="J3" s="166"/>
      <c r="K3" s="167"/>
    </row>
    <row r="4" spans="3:11" ht="15.75" thickBot="1">
      <c r="C4" s="25"/>
      <c r="D4" s="26"/>
      <c r="E4" s="25"/>
      <c r="F4" s="27"/>
      <c r="G4" s="16"/>
      <c r="H4">
        <f t="shared" si="0"/>
        <v>0</v>
      </c>
      <c r="J4" s="168"/>
      <c r="K4" s="169"/>
    </row>
    <row r="5" spans="3:11">
      <c r="C5" s="25"/>
      <c r="D5" s="41" t="s">
        <v>436</v>
      </c>
      <c r="E5" s="42" t="s">
        <v>437</v>
      </c>
      <c r="F5" s="27">
        <v>50</v>
      </c>
      <c r="G5" s="16"/>
      <c r="H5">
        <f t="shared" si="0"/>
        <v>0</v>
      </c>
    </row>
    <row r="6" spans="3:11">
      <c r="C6" s="25"/>
      <c r="D6" s="41" t="s">
        <v>436</v>
      </c>
      <c r="E6" s="42" t="s">
        <v>438</v>
      </c>
      <c r="F6" s="27">
        <v>50</v>
      </c>
      <c r="G6" s="16"/>
      <c r="H6">
        <f t="shared" si="0"/>
        <v>0</v>
      </c>
    </row>
    <row r="7" spans="3:11">
      <c r="C7" s="25"/>
      <c r="D7" s="41" t="s">
        <v>436</v>
      </c>
      <c r="E7" s="42" t="s">
        <v>439</v>
      </c>
      <c r="F7" s="27">
        <v>50</v>
      </c>
      <c r="G7" s="16"/>
      <c r="H7">
        <f t="shared" si="0"/>
        <v>0</v>
      </c>
    </row>
    <row r="8" spans="3:11">
      <c r="C8" s="25"/>
      <c r="D8" s="41" t="s">
        <v>436</v>
      </c>
      <c r="E8" s="42" t="s">
        <v>440</v>
      </c>
      <c r="F8" s="27">
        <v>50</v>
      </c>
      <c r="G8" s="16"/>
      <c r="H8">
        <f t="shared" si="0"/>
        <v>0</v>
      </c>
    </row>
    <row r="9" spans="3:11">
      <c r="C9" s="25"/>
      <c r="D9" s="26"/>
      <c r="E9" s="25"/>
      <c r="F9" s="27"/>
      <c r="G9" s="16"/>
      <c r="H9">
        <f t="shared" si="0"/>
        <v>0</v>
      </c>
    </row>
    <row r="11" spans="3:11">
      <c r="D11" s="25" t="s">
        <v>61</v>
      </c>
      <c r="E11" s="9">
        <v>1.1929000000000001</v>
      </c>
    </row>
  </sheetData>
  <mergeCells count="1">
    <mergeCell ref="J2:K4"/>
  </mergeCells>
  <hyperlinks>
    <hyperlink ref="J2:K4" location="Fornecedores_Contentores!A1" display="INICIO" xr:uid="{6D91241F-D078-4CA4-9FF6-C5F761B2774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0072A-607B-4D10-80DB-60EC64B3CFF5}">
  <sheetPr codeName="Folha28"/>
  <dimension ref="C1:K11"/>
  <sheetViews>
    <sheetView workbookViewId="0">
      <selection activeCell="J2" sqref="J2:K4"/>
    </sheetView>
  </sheetViews>
  <sheetFormatPr defaultRowHeight="15"/>
  <cols>
    <col min="3" max="3" width="15.5703125" bestFit="1" customWidth="1"/>
    <col min="4" max="4" width="14.140625" bestFit="1" customWidth="1"/>
    <col min="5" max="5" width="44.7109375" bestFit="1" customWidth="1"/>
    <col min="6" max="6" width="8.1406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291</v>
      </c>
      <c r="D3" s="26" t="s">
        <v>292</v>
      </c>
      <c r="E3" s="25" t="s">
        <v>293</v>
      </c>
      <c r="F3" s="27">
        <v>6</v>
      </c>
      <c r="G3" s="16">
        <v>84.42</v>
      </c>
      <c r="H3">
        <f t="shared" ref="H3:H9" si="0">G3/$E$11</f>
        <v>70.768714896470783</v>
      </c>
      <c r="J3" s="166"/>
      <c r="K3" s="167"/>
    </row>
    <row r="4" spans="3:11" ht="15.75" thickBot="1">
      <c r="C4" s="25" t="s">
        <v>294</v>
      </c>
      <c r="D4" s="26" t="s">
        <v>295</v>
      </c>
      <c r="E4" s="25" t="s">
        <v>296</v>
      </c>
      <c r="F4" s="27">
        <v>13</v>
      </c>
      <c r="G4" s="16">
        <v>84.42</v>
      </c>
      <c r="H4">
        <f t="shared" si="0"/>
        <v>70.768714896470783</v>
      </c>
      <c r="J4" s="168"/>
      <c r="K4" s="169"/>
    </row>
    <row r="5" spans="3:11">
      <c r="C5" s="25" t="s">
        <v>297</v>
      </c>
      <c r="D5" s="26" t="s">
        <v>298</v>
      </c>
      <c r="E5" s="25" t="s">
        <v>299</v>
      </c>
      <c r="F5" s="27">
        <v>324</v>
      </c>
      <c r="G5" s="16">
        <v>67.39</v>
      </c>
      <c r="H5">
        <f t="shared" si="0"/>
        <v>56.492581104870482</v>
      </c>
    </row>
    <row r="6" spans="3:11">
      <c r="C6" s="25" t="s">
        <v>245</v>
      </c>
      <c r="D6" s="26" t="s">
        <v>246</v>
      </c>
      <c r="E6" s="25" t="s">
        <v>300</v>
      </c>
      <c r="F6" s="27">
        <v>50</v>
      </c>
      <c r="G6" s="16">
        <v>84.42</v>
      </c>
      <c r="H6">
        <f t="shared" si="0"/>
        <v>70.768714896470783</v>
      </c>
    </row>
    <row r="7" spans="3:11">
      <c r="C7" s="25"/>
      <c r="D7" s="26"/>
      <c r="E7" s="25"/>
      <c r="F7" s="27"/>
      <c r="G7" s="16"/>
      <c r="H7">
        <f t="shared" si="0"/>
        <v>0</v>
      </c>
    </row>
    <row r="8" spans="3:11">
      <c r="C8" s="25"/>
      <c r="D8" s="26"/>
      <c r="E8" s="25"/>
      <c r="F8" s="27"/>
      <c r="G8" s="16"/>
      <c r="H8">
        <f t="shared" si="0"/>
        <v>0</v>
      </c>
    </row>
    <row r="9" spans="3:11">
      <c r="C9" s="25"/>
      <c r="D9" s="26"/>
      <c r="E9" s="25"/>
      <c r="F9" s="27"/>
      <c r="G9" s="16"/>
      <c r="H9">
        <f t="shared" si="0"/>
        <v>0</v>
      </c>
    </row>
    <row r="11" spans="3:11">
      <c r="D11" s="25" t="s">
        <v>61</v>
      </c>
      <c r="E11" s="9">
        <v>1.1929000000000001</v>
      </c>
    </row>
  </sheetData>
  <mergeCells count="1">
    <mergeCell ref="J2:K4"/>
  </mergeCells>
  <hyperlinks>
    <hyperlink ref="J2:K4" location="Fornecedores_Contentores!A1" display="INICIO" xr:uid="{147CE885-897D-46B7-B504-1E00C4781B3E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9B5C6-B1AF-4CBA-A582-9A8E681E1073}">
  <sheetPr codeName="Folha29"/>
  <dimension ref="C1:K11"/>
  <sheetViews>
    <sheetView workbookViewId="0">
      <selection activeCell="C2" sqref="C2:F9"/>
    </sheetView>
  </sheetViews>
  <sheetFormatPr defaultRowHeight="15"/>
  <cols>
    <col min="3" max="3" width="22.28515625" bestFit="1" customWidth="1"/>
    <col min="4" max="4" width="14.140625" bestFit="1" customWidth="1"/>
    <col min="5" max="5" width="43.42578125" bestFit="1" customWidth="1"/>
    <col min="6" max="6" width="8.1406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38</v>
      </c>
      <c r="D3" s="26" t="s">
        <v>66</v>
      </c>
      <c r="E3" s="25" t="s">
        <v>67</v>
      </c>
      <c r="F3" s="27">
        <v>85</v>
      </c>
      <c r="G3" s="16">
        <v>34.5</v>
      </c>
      <c r="H3">
        <f t="shared" ref="H3:H9" si="0">G3/$E$11</f>
        <v>28.921116606588985</v>
      </c>
      <c r="J3" s="166"/>
      <c r="K3" s="167"/>
    </row>
    <row r="4" spans="3:11" ht="15.75" thickBot="1">
      <c r="C4" s="25" t="s">
        <v>124</v>
      </c>
      <c r="D4" s="26" t="s">
        <v>195</v>
      </c>
      <c r="E4" s="25" t="s">
        <v>196</v>
      </c>
      <c r="F4" s="27">
        <v>45</v>
      </c>
      <c r="G4" s="16">
        <v>37.5</v>
      </c>
      <c r="H4">
        <f t="shared" si="0"/>
        <v>31.435996311509765</v>
      </c>
      <c r="J4" s="168"/>
      <c r="K4" s="169"/>
    </row>
    <row r="5" spans="3:11">
      <c r="C5" s="25" t="s">
        <v>125</v>
      </c>
      <c r="D5" s="26" t="s">
        <v>197</v>
      </c>
      <c r="E5" s="25" t="s">
        <v>198</v>
      </c>
      <c r="F5" s="27">
        <v>55</v>
      </c>
      <c r="G5" s="16">
        <v>80.5</v>
      </c>
      <c r="H5">
        <f t="shared" si="0"/>
        <v>67.482605415374294</v>
      </c>
    </row>
    <row r="6" spans="3:11">
      <c r="C6" s="25" t="s">
        <v>45</v>
      </c>
      <c r="D6" s="26" t="s">
        <v>79</v>
      </c>
      <c r="E6" s="25" t="s">
        <v>80</v>
      </c>
      <c r="F6" s="27">
        <v>105</v>
      </c>
      <c r="G6" s="16">
        <v>98</v>
      </c>
      <c r="H6">
        <f t="shared" si="0"/>
        <v>82.152737027412186</v>
      </c>
    </row>
    <row r="7" spans="3:11">
      <c r="C7" s="25" t="s">
        <v>39</v>
      </c>
      <c r="D7" s="26" t="s">
        <v>68</v>
      </c>
      <c r="E7" s="25" t="s">
        <v>51</v>
      </c>
      <c r="F7" s="27">
        <v>45</v>
      </c>
      <c r="G7" s="16">
        <v>88</v>
      </c>
      <c r="H7">
        <f t="shared" si="0"/>
        <v>73.769804677676248</v>
      </c>
    </row>
    <row r="8" spans="3:11">
      <c r="C8" s="25" t="s">
        <v>41</v>
      </c>
      <c r="D8" s="26" t="s">
        <v>69</v>
      </c>
      <c r="E8" s="25" t="s">
        <v>70</v>
      </c>
      <c r="F8" s="27">
        <v>55</v>
      </c>
      <c r="G8" s="16">
        <v>145</v>
      </c>
      <c r="H8">
        <f t="shared" si="0"/>
        <v>121.55251907117109</v>
      </c>
    </row>
    <row r="9" spans="3:11">
      <c r="C9" s="25" t="s">
        <v>42</v>
      </c>
      <c r="D9" s="26" t="s">
        <v>81</v>
      </c>
      <c r="E9" s="25" t="s">
        <v>82</v>
      </c>
      <c r="F9" s="27">
        <v>21</v>
      </c>
      <c r="G9" s="16">
        <v>60.5</v>
      </c>
      <c r="H9">
        <f t="shared" si="0"/>
        <v>50.716740715902418</v>
      </c>
    </row>
    <row r="11" spans="3:11">
      <c r="D11" s="25" t="s">
        <v>61</v>
      </c>
      <c r="E11" s="9">
        <v>1.1929000000000001</v>
      </c>
    </row>
  </sheetData>
  <mergeCells count="1">
    <mergeCell ref="J2:K4"/>
  </mergeCells>
  <hyperlinks>
    <hyperlink ref="J2:K4" location="Fornecedores_Contentores!A1" display="INICIO" xr:uid="{D7824DE6-1331-4FEC-89C7-35C891A9A4C4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7763-1F2E-4BAA-AA2F-5DAF09845CA4}">
  <sheetPr codeName="Folha30"/>
  <dimension ref="C1:K10"/>
  <sheetViews>
    <sheetView workbookViewId="0">
      <selection activeCell="J2" sqref="J2:K4"/>
    </sheetView>
  </sheetViews>
  <sheetFormatPr defaultRowHeight="15"/>
  <cols>
    <col min="3" max="3" width="22.28515625" bestFit="1" customWidth="1"/>
    <col min="4" max="4" width="14.140625" bestFit="1" customWidth="1"/>
    <col min="5" max="5" width="48.7109375" bestFit="1" customWidth="1"/>
    <col min="6" max="6" width="8.1406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42</v>
      </c>
      <c r="D3" s="26" t="s">
        <v>81</v>
      </c>
      <c r="E3" s="25" t="s">
        <v>288</v>
      </c>
      <c r="F3" s="27">
        <v>175</v>
      </c>
      <c r="G3" s="16">
        <v>60.5</v>
      </c>
      <c r="H3">
        <f t="shared" ref="H3:H8" si="0">G3/$E$10</f>
        <v>50.716740715902418</v>
      </c>
      <c r="J3" s="166"/>
      <c r="K3" s="167"/>
    </row>
    <row r="4" spans="3:11" ht="15.75" thickBot="1">
      <c r="C4" s="25" t="s">
        <v>43</v>
      </c>
      <c r="D4" s="26" t="s">
        <v>83</v>
      </c>
      <c r="E4" s="25" t="s">
        <v>289</v>
      </c>
      <c r="F4" s="27">
        <v>120</v>
      </c>
      <c r="G4" s="16">
        <v>65.5</v>
      </c>
      <c r="H4">
        <f t="shared" si="0"/>
        <v>54.908206890770387</v>
      </c>
      <c r="J4" s="168"/>
      <c r="K4" s="169"/>
    </row>
    <row r="5" spans="3:11">
      <c r="C5" s="25" t="s">
        <v>44</v>
      </c>
      <c r="D5" s="26" t="s">
        <v>73</v>
      </c>
      <c r="E5" s="25" t="s">
        <v>290</v>
      </c>
      <c r="F5" s="27">
        <v>150</v>
      </c>
      <c r="G5" s="16">
        <v>65.5</v>
      </c>
      <c r="H5">
        <f t="shared" si="0"/>
        <v>54.908206890770387</v>
      </c>
    </row>
    <row r="6" spans="3:11">
      <c r="C6" s="25"/>
      <c r="D6" s="26"/>
      <c r="E6" s="25"/>
      <c r="F6" s="27"/>
      <c r="G6" s="16"/>
      <c r="H6">
        <f t="shared" si="0"/>
        <v>0</v>
      </c>
    </row>
    <row r="7" spans="3:11">
      <c r="C7" s="25"/>
      <c r="D7" s="26"/>
      <c r="E7" s="25"/>
      <c r="F7" s="27"/>
      <c r="G7" s="16"/>
      <c r="H7">
        <f t="shared" si="0"/>
        <v>0</v>
      </c>
    </row>
    <row r="8" spans="3:11">
      <c r="C8" s="25"/>
      <c r="D8" s="26"/>
      <c r="E8" s="25"/>
      <c r="F8" s="27"/>
      <c r="G8" s="16"/>
      <c r="H8">
        <f t="shared" si="0"/>
        <v>0</v>
      </c>
    </row>
    <row r="10" spans="3:11">
      <c r="D10" s="25" t="s">
        <v>61</v>
      </c>
      <c r="E10" s="9">
        <v>1.1929000000000001</v>
      </c>
    </row>
  </sheetData>
  <mergeCells count="1">
    <mergeCell ref="J2:K4"/>
  </mergeCells>
  <hyperlinks>
    <hyperlink ref="J2:K4" location="Fornecedores_Contentores!A1" display="INICIO" xr:uid="{0BFFCB1F-5BEA-4A1E-AF10-D701B43EA98C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544F-3A65-4D65-AE0C-B0E2E9F0C605}">
  <sheetPr codeName="Folha31"/>
  <dimension ref="C1:K10"/>
  <sheetViews>
    <sheetView workbookViewId="0">
      <selection activeCell="J2" sqref="J2:K4"/>
    </sheetView>
  </sheetViews>
  <sheetFormatPr defaultRowHeight="15"/>
  <cols>
    <col min="3" max="3" width="22.28515625" bestFit="1" customWidth="1"/>
    <col min="4" max="4" width="14.140625" bestFit="1" customWidth="1"/>
    <col min="5" max="5" width="43.42578125" bestFit="1" customWidth="1"/>
    <col min="6" max="6" width="8.1406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283</v>
      </c>
      <c r="D3" s="26" t="s">
        <v>284</v>
      </c>
      <c r="E3" s="25" t="s">
        <v>285</v>
      </c>
      <c r="F3" s="27">
        <v>357</v>
      </c>
      <c r="G3" s="16">
        <v>84.42</v>
      </c>
      <c r="H3">
        <f t="shared" ref="H3:H8" si="0">G3/$E$10</f>
        <v>70.768714896470783</v>
      </c>
      <c r="J3" s="166"/>
      <c r="K3" s="167"/>
    </row>
    <row r="4" spans="3:11" ht="15.75" thickBot="1">
      <c r="C4" s="25"/>
      <c r="D4" s="26"/>
      <c r="E4" s="25"/>
      <c r="F4" s="27"/>
      <c r="G4" s="16"/>
      <c r="H4">
        <f t="shared" si="0"/>
        <v>0</v>
      </c>
      <c r="J4" s="168"/>
      <c r="K4" s="169"/>
    </row>
    <row r="5" spans="3:11">
      <c r="C5" s="25"/>
      <c r="D5" s="26"/>
      <c r="E5" s="25"/>
      <c r="F5" s="27"/>
      <c r="G5" s="16"/>
      <c r="H5">
        <f t="shared" si="0"/>
        <v>0</v>
      </c>
    </row>
    <row r="6" spans="3:11">
      <c r="C6" s="25"/>
      <c r="D6" s="26"/>
      <c r="E6" s="25"/>
      <c r="F6" s="27"/>
      <c r="G6" s="16"/>
      <c r="H6">
        <f t="shared" si="0"/>
        <v>0</v>
      </c>
    </row>
    <row r="7" spans="3:11">
      <c r="C7" s="25"/>
      <c r="D7" s="26"/>
      <c r="E7" s="25"/>
      <c r="F7" s="27"/>
      <c r="G7" s="16"/>
      <c r="H7">
        <f t="shared" si="0"/>
        <v>0</v>
      </c>
    </row>
    <row r="8" spans="3:11">
      <c r="C8" s="25"/>
      <c r="D8" s="26"/>
      <c r="E8" s="25"/>
      <c r="F8" s="27"/>
      <c r="G8" s="16"/>
      <c r="H8">
        <f t="shared" si="0"/>
        <v>0</v>
      </c>
    </row>
    <row r="10" spans="3:11">
      <c r="D10" s="25" t="s">
        <v>61</v>
      </c>
      <c r="E10" s="9">
        <v>1.1929000000000001</v>
      </c>
    </row>
  </sheetData>
  <mergeCells count="1">
    <mergeCell ref="J2:K4"/>
  </mergeCells>
  <hyperlinks>
    <hyperlink ref="J2:K4" location="Fornecedores_Contentores!A1" display="INICIO" xr:uid="{B1B9688A-B4AF-45D5-B0CD-0BDCC5974238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AF92-7C91-4FCA-8885-02789D8FDEBC}">
  <sheetPr codeName="Folha32"/>
  <dimension ref="C1:K10"/>
  <sheetViews>
    <sheetView workbookViewId="0">
      <selection activeCell="J2" sqref="J2:K4"/>
    </sheetView>
  </sheetViews>
  <sheetFormatPr defaultRowHeight="15"/>
  <cols>
    <col min="3" max="3" width="13.140625" bestFit="1" customWidth="1"/>
    <col min="4" max="4" width="14.140625" bestFit="1" customWidth="1"/>
    <col min="5" max="5" width="45.140625" bestFit="1" customWidth="1"/>
    <col min="6" max="6" width="8.1406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38</v>
      </c>
      <c r="D3" s="26" t="s">
        <v>66</v>
      </c>
      <c r="E3" s="25" t="s">
        <v>67</v>
      </c>
      <c r="F3" s="27">
        <v>274</v>
      </c>
      <c r="G3" s="16">
        <v>34.5</v>
      </c>
      <c r="H3">
        <f t="shared" ref="H3:H8" si="0">G3/$E$10</f>
        <v>29.272017648057016</v>
      </c>
      <c r="J3" s="166"/>
      <c r="K3" s="167"/>
    </row>
    <row r="4" spans="3:11" ht="15.75" thickBot="1">
      <c r="C4" s="25" t="s">
        <v>253</v>
      </c>
      <c r="D4" s="26" t="s">
        <v>252</v>
      </c>
      <c r="E4" s="25" t="s">
        <v>251</v>
      </c>
      <c r="F4" s="27">
        <v>116</v>
      </c>
      <c r="G4" s="16">
        <v>40</v>
      </c>
      <c r="H4">
        <f t="shared" si="0"/>
        <v>33.938571186153062</v>
      </c>
      <c r="J4" s="168"/>
      <c r="K4" s="169"/>
    </row>
    <row r="5" spans="3:11">
      <c r="C5" s="25" t="s">
        <v>250</v>
      </c>
      <c r="D5" s="26" t="s">
        <v>249</v>
      </c>
      <c r="E5" s="25" t="s">
        <v>248</v>
      </c>
      <c r="F5" s="27">
        <v>56</v>
      </c>
      <c r="G5" s="16">
        <v>63</v>
      </c>
      <c r="H5">
        <f t="shared" si="0"/>
        <v>53.453249618191073</v>
      </c>
    </row>
    <row r="6" spans="3:11">
      <c r="C6" s="25" t="s">
        <v>40</v>
      </c>
      <c r="D6" s="26" t="s">
        <v>71</v>
      </c>
      <c r="E6" s="25" t="s">
        <v>72</v>
      </c>
      <c r="F6" s="27">
        <v>76</v>
      </c>
      <c r="G6" s="16">
        <v>58</v>
      </c>
      <c r="H6">
        <f t="shared" si="0"/>
        <v>49.210928219921939</v>
      </c>
    </row>
    <row r="7" spans="3:11">
      <c r="C7" s="25"/>
      <c r="D7" s="26"/>
      <c r="E7" s="25"/>
      <c r="F7" s="27"/>
      <c r="G7" s="16"/>
      <c r="H7">
        <f t="shared" si="0"/>
        <v>0</v>
      </c>
    </row>
    <row r="8" spans="3:11">
      <c r="C8" s="25"/>
      <c r="D8" s="26"/>
      <c r="E8" s="25"/>
      <c r="F8" s="27"/>
      <c r="G8" s="16"/>
      <c r="H8">
        <f t="shared" si="0"/>
        <v>0</v>
      </c>
    </row>
    <row r="10" spans="3:11">
      <c r="D10" s="25" t="s">
        <v>61</v>
      </c>
      <c r="E10" s="25">
        <v>1.1786000000000001</v>
      </c>
    </row>
  </sheetData>
  <mergeCells count="1">
    <mergeCell ref="J2:K4"/>
  </mergeCells>
  <hyperlinks>
    <hyperlink ref="J2:K4" location="Fornecedores_Contentores!A1" display="INICIO" xr:uid="{708D6FC6-F83E-423F-BB31-5B2B4716CC5C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7203-CD49-4D0F-AE4A-81899EFB2A9D}">
  <sheetPr codeName="Folha33"/>
  <dimension ref="C1:K13"/>
  <sheetViews>
    <sheetView workbookViewId="0">
      <selection activeCell="J2" sqref="J2:K4"/>
    </sheetView>
  </sheetViews>
  <sheetFormatPr defaultRowHeight="15"/>
  <cols>
    <col min="3" max="3" width="16.28515625" bestFit="1" customWidth="1"/>
    <col min="4" max="4" width="14.140625" bestFit="1" customWidth="1"/>
    <col min="5" max="5" width="30.5703125" bestFit="1" customWidth="1"/>
    <col min="6" max="6" width="8.1406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1" t="s">
        <v>271</v>
      </c>
      <c r="D3" s="22">
        <v>5600413207789</v>
      </c>
      <c r="E3" s="21" t="s">
        <v>270</v>
      </c>
      <c r="F3" s="27">
        <v>50</v>
      </c>
      <c r="G3" s="16">
        <v>109</v>
      </c>
      <c r="H3">
        <f t="shared" ref="H3:H11" si="0">G3/$E$13</f>
        <v>92.482606482267087</v>
      </c>
      <c r="J3" s="166"/>
      <c r="K3" s="167"/>
    </row>
    <row r="4" spans="3:11" ht="15.75" thickBot="1">
      <c r="C4" s="21" t="s">
        <v>269</v>
      </c>
      <c r="D4" s="22">
        <v>5600413207796</v>
      </c>
      <c r="E4" s="21" t="s">
        <v>268</v>
      </c>
      <c r="F4" s="27">
        <v>20</v>
      </c>
      <c r="G4" s="16">
        <v>109</v>
      </c>
      <c r="H4">
        <f t="shared" si="0"/>
        <v>92.482606482267087</v>
      </c>
      <c r="J4" s="168"/>
      <c r="K4" s="169"/>
    </row>
    <row r="5" spans="3:11">
      <c r="C5" s="21" t="s">
        <v>267</v>
      </c>
      <c r="D5" s="22">
        <v>5600413207802</v>
      </c>
      <c r="E5" s="21" t="s">
        <v>266</v>
      </c>
      <c r="F5" s="27">
        <v>50</v>
      </c>
      <c r="G5" s="16">
        <v>136</v>
      </c>
      <c r="H5">
        <f t="shared" si="0"/>
        <v>115.3911420329204</v>
      </c>
    </row>
    <row r="6" spans="3:11">
      <c r="C6" s="21" t="s">
        <v>265</v>
      </c>
      <c r="D6" s="22">
        <v>5600413207819</v>
      </c>
      <c r="E6" s="21" t="s">
        <v>264</v>
      </c>
      <c r="F6" s="27">
        <v>20</v>
      </c>
      <c r="G6" s="16">
        <v>136</v>
      </c>
      <c r="H6">
        <f t="shared" si="0"/>
        <v>115.3911420329204</v>
      </c>
    </row>
    <row r="7" spans="3:11">
      <c r="C7" s="21" t="s">
        <v>263</v>
      </c>
      <c r="D7" s="22">
        <v>5600413207826</v>
      </c>
      <c r="E7" s="21" t="s">
        <v>262</v>
      </c>
      <c r="F7" s="27">
        <v>35</v>
      </c>
      <c r="G7" s="16">
        <v>162</v>
      </c>
      <c r="H7">
        <f t="shared" si="0"/>
        <v>137.4512133039199</v>
      </c>
    </row>
    <row r="8" spans="3:11">
      <c r="C8" s="21" t="s">
        <v>261</v>
      </c>
      <c r="D8" s="22">
        <v>5600413207833</v>
      </c>
      <c r="E8" s="21" t="s">
        <v>260</v>
      </c>
      <c r="F8" s="27">
        <v>15</v>
      </c>
      <c r="G8" s="16">
        <v>169</v>
      </c>
      <c r="H8">
        <f t="shared" si="0"/>
        <v>143.39046326149668</v>
      </c>
    </row>
    <row r="9" spans="3:11">
      <c r="C9" s="21" t="s">
        <v>259</v>
      </c>
      <c r="D9" s="22">
        <v>5600413207963</v>
      </c>
      <c r="E9" s="21" t="s">
        <v>258</v>
      </c>
      <c r="F9" s="27">
        <v>35</v>
      </c>
      <c r="G9" s="16">
        <v>136</v>
      </c>
      <c r="H9">
        <f t="shared" si="0"/>
        <v>115.3911420329204</v>
      </c>
    </row>
    <row r="10" spans="3:11">
      <c r="C10" s="21" t="s">
        <v>257</v>
      </c>
      <c r="D10" s="22">
        <v>5600413207970</v>
      </c>
      <c r="E10" s="21" t="s">
        <v>256</v>
      </c>
      <c r="F10" s="27">
        <v>14</v>
      </c>
      <c r="G10" s="16">
        <v>142</v>
      </c>
      <c r="H10">
        <f t="shared" si="0"/>
        <v>120.48192771084337</v>
      </c>
    </row>
    <row r="11" spans="3:11">
      <c r="C11" s="21" t="s">
        <v>255</v>
      </c>
      <c r="D11" s="22">
        <v>5600413207987</v>
      </c>
      <c r="E11" s="21" t="s">
        <v>254</v>
      </c>
      <c r="F11" s="27">
        <v>14</v>
      </c>
      <c r="G11" s="16">
        <v>142</v>
      </c>
      <c r="H11">
        <f t="shared" si="0"/>
        <v>120.48192771084337</v>
      </c>
    </row>
    <row r="13" spans="3:11">
      <c r="D13" s="25" t="s">
        <v>61</v>
      </c>
      <c r="E13" s="25">
        <v>1.1786000000000001</v>
      </c>
    </row>
  </sheetData>
  <mergeCells count="1">
    <mergeCell ref="J2:K4"/>
  </mergeCells>
  <hyperlinks>
    <hyperlink ref="J2:K4" location="Fornecedores_Contentores!A1" display="INICIO" xr:uid="{58BFBDA8-EB7D-462F-9115-B3E41A93497B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21AB-1EF6-48B0-99C5-4E6E5383FADE}">
  <sheetPr codeName="Folha34"/>
  <dimension ref="C1:K10"/>
  <sheetViews>
    <sheetView workbookViewId="0">
      <selection activeCell="J2" sqref="J2:K4"/>
    </sheetView>
  </sheetViews>
  <sheetFormatPr defaultRowHeight="15"/>
  <cols>
    <col min="3" max="3" width="13.140625" bestFit="1" customWidth="1"/>
    <col min="4" max="4" width="14.140625" bestFit="1" customWidth="1"/>
    <col min="5" max="5" width="45.140625" bestFit="1" customWidth="1"/>
    <col min="6" max="6" width="8.1406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38</v>
      </c>
      <c r="D3" s="26" t="s">
        <v>66</v>
      </c>
      <c r="E3" s="25" t="s">
        <v>67</v>
      </c>
      <c r="F3" s="27">
        <v>274</v>
      </c>
      <c r="G3" s="16">
        <v>34.5</v>
      </c>
      <c r="H3">
        <f t="shared" ref="H3:H8" si="0">G3/$E$10</f>
        <v>29.272017648057016</v>
      </c>
      <c r="J3" s="166"/>
      <c r="K3" s="167"/>
    </row>
    <row r="4" spans="3:11" ht="15.75" thickBot="1">
      <c r="C4" s="25" t="s">
        <v>253</v>
      </c>
      <c r="D4" s="26" t="s">
        <v>252</v>
      </c>
      <c r="E4" s="25" t="s">
        <v>251</v>
      </c>
      <c r="F4" s="27">
        <v>116</v>
      </c>
      <c r="G4" s="16">
        <v>40</v>
      </c>
      <c r="H4">
        <f t="shared" si="0"/>
        <v>33.938571186153062</v>
      </c>
      <c r="J4" s="168"/>
      <c r="K4" s="169"/>
    </row>
    <row r="5" spans="3:11">
      <c r="C5" s="25" t="s">
        <v>250</v>
      </c>
      <c r="D5" s="26" t="s">
        <v>249</v>
      </c>
      <c r="E5" s="25" t="s">
        <v>248</v>
      </c>
      <c r="F5" s="27">
        <v>56</v>
      </c>
      <c r="G5" s="16">
        <v>63</v>
      </c>
      <c r="H5">
        <f t="shared" si="0"/>
        <v>53.453249618191073</v>
      </c>
    </row>
    <row r="6" spans="3:11">
      <c r="C6" s="25" t="s">
        <v>40</v>
      </c>
      <c r="D6" s="26" t="s">
        <v>71</v>
      </c>
      <c r="E6" s="25" t="s">
        <v>72</v>
      </c>
      <c r="F6" s="27">
        <v>76</v>
      </c>
      <c r="G6" s="16">
        <v>58</v>
      </c>
      <c r="H6">
        <f t="shared" si="0"/>
        <v>49.210928219921939</v>
      </c>
    </row>
    <row r="7" spans="3:11">
      <c r="C7" s="25"/>
      <c r="D7" s="26"/>
      <c r="E7" s="25"/>
      <c r="F7" s="27"/>
      <c r="G7" s="16"/>
      <c r="H7">
        <f t="shared" si="0"/>
        <v>0</v>
      </c>
    </row>
    <row r="8" spans="3:11">
      <c r="C8" s="25"/>
      <c r="D8" s="26"/>
      <c r="E8" s="25"/>
      <c r="F8" s="27"/>
      <c r="G8" s="16"/>
      <c r="H8">
        <f t="shared" si="0"/>
        <v>0</v>
      </c>
    </row>
    <row r="10" spans="3:11">
      <c r="D10" s="25" t="s">
        <v>61</v>
      </c>
      <c r="E10" s="25">
        <v>1.1786000000000001</v>
      </c>
    </row>
  </sheetData>
  <mergeCells count="1">
    <mergeCell ref="J2:K4"/>
  </mergeCells>
  <hyperlinks>
    <hyperlink ref="J2:K4" location="Fornecedores_Contentores!A1" display="INICIO" xr:uid="{23049371-AD38-4B3C-A68B-3DE0D2323058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D08A6-BBB4-460F-8C8B-B40125E01BCB}">
  <sheetPr codeName="Folha35"/>
  <dimension ref="C1:K12"/>
  <sheetViews>
    <sheetView workbookViewId="0">
      <selection activeCell="J2" sqref="J2:K4"/>
    </sheetView>
  </sheetViews>
  <sheetFormatPr defaultRowHeight="15"/>
  <cols>
    <col min="3" max="3" width="18.140625" bestFit="1" customWidth="1"/>
    <col min="4" max="4" width="14.140625" bestFit="1" customWidth="1"/>
    <col min="5" max="5" width="48.85546875" bestFit="1" customWidth="1"/>
    <col min="6" max="6" width="8.1406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44</v>
      </c>
      <c r="D3" s="26" t="s">
        <v>73</v>
      </c>
      <c r="E3" s="25" t="s">
        <v>74</v>
      </c>
      <c r="F3" s="27">
        <v>74</v>
      </c>
      <c r="G3" s="16">
        <v>65.5</v>
      </c>
      <c r="H3">
        <f t="shared" ref="H3:H10" si="0">G3/$E$12</f>
        <v>55.574410317325636</v>
      </c>
      <c r="J3" s="166"/>
      <c r="K3" s="167"/>
    </row>
    <row r="4" spans="3:11" ht="15.75" thickBot="1">
      <c r="C4" s="25" t="s">
        <v>43</v>
      </c>
      <c r="D4" s="26" t="s">
        <v>83</v>
      </c>
      <c r="E4" s="25" t="s">
        <v>84</v>
      </c>
      <c r="F4" s="27">
        <v>53</v>
      </c>
      <c r="G4" s="16">
        <v>65.5</v>
      </c>
      <c r="H4">
        <f t="shared" si="0"/>
        <v>55.574410317325636</v>
      </c>
      <c r="J4" s="168"/>
      <c r="K4" s="169"/>
    </row>
    <row r="5" spans="3:11">
      <c r="C5" s="25" t="s">
        <v>42</v>
      </c>
      <c r="D5" s="26" t="s">
        <v>81</v>
      </c>
      <c r="E5" s="25" t="s">
        <v>82</v>
      </c>
      <c r="F5" s="27">
        <v>93</v>
      </c>
      <c r="G5" s="16">
        <v>60.5</v>
      </c>
      <c r="H5">
        <f t="shared" si="0"/>
        <v>51.332088919056503</v>
      </c>
    </row>
    <row r="6" spans="3:11">
      <c r="C6" s="25" t="s">
        <v>39</v>
      </c>
      <c r="D6" s="26" t="s">
        <v>68</v>
      </c>
      <c r="E6" s="25" t="s">
        <v>51</v>
      </c>
      <c r="F6" s="27">
        <v>64</v>
      </c>
      <c r="G6" s="16">
        <v>88</v>
      </c>
      <c r="H6">
        <f t="shared" si="0"/>
        <v>74.664856609536727</v>
      </c>
    </row>
    <row r="7" spans="3:11">
      <c r="C7" s="25" t="s">
        <v>45</v>
      </c>
      <c r="D7" s="26" t="s">
        <v>79</v>
      </c>
      <c r="E7" s="25" t="s">
        <v>80</v>
      </c>
      <c r="F7" s="27">
        <v>54</v>
      </c>
      <c r="G7" s="16">
        <v>98</v>
      </c>
      <c r="H7">
        <f t="shared" si="0"/>
        <v>83.149499406074995</v>
      </c>
    </row>
    <row r="8" spans="3:11">
      <c r="C8" s="25" t="s">
        <v>41</v>
      </c>
      <c r="D8" s="26" t="s">
        <v>69</v>
      </c>
      <c r="E8" s="25" t="s">
        <v>70</v>
      </c>
      <c r="F8" s="27">
        <v>44</v>
      </c>
      <c r="G8" s="16">
        <v>145</v>
      </c>
      <c r="H8">
        <f t="shared" si="0"/>
        <v>123.02732054980484</v>
      </c>
    </row>
    <row r="9" spans="3:11">
      <c r="C9" s="25"/>
      <c r="D9" s="26"/>
      <c r="E9" s="25"/>
      <c r="F9" s="27"/>
      <c r="G9" s="16"/>
      <c r="H9">
        <f t="shared" si="0"/>
        <v>0</v>
      </c>
    </row>
    <row r="10" spans="3:11">
      <c r="C10" s="25"/>
      <c r="D10" s="26"/>
      <c r="E10" s="25"/>
      <c r="F10" s="27"/>
      <c r="G10" s="16"/>
      <c r="H10">
        <f t="shared" si="0"/>
        <v>0</v>
      </c>
    </row>
    <row r="12" spans="3:11">
      <c r="D12" s="25" t="s">
        <v>61</v>
      </c>
      <c r="E12" s="25">
        <v>1.1786000000000001</v>
      </c>
    </row>
  </sheetData>
  <mergeCells count="1">
    <mergeCell ref="J2:K4"/>
  </mergeCells>
  <hyperlinks>
    <hyperlink ref="J2:K4" location="Fornecedores_Contentores!A1" display="INICIO" xr:uid="{980C3591-FF4B-4F04-80EA-F0BE407098C2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5598D-10EB-45EC-A9E6-91D1BA2B16DA}">
  <sheetPr codeName="Folha36"/>
  <dimension ref="C1:K12"/>
  <sheetViews>
    <sheetView workbookViewId="0">
      <selection activeCell="J2" sqref="J2:K4"/>
    </sheetView>
  </sheetViews>
  <sheetFormatPr defaultRowHeight="15"/>
  <cols>
    <col min="3" max="3" width="18.140625" bestFit="1" customWidth="1"/>
    <col min="4" max="4" width="14.140625" bestFit="1" customWidth="1"/>
    <col min="5" max="5" width="48.85546875" bestFit="1" customWidth="1"/>
    <col min="6" max="6" width="8.1406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44</v>
      </c>
      <c r="D3" s="26" t="s">
        <v>73</v>
      </c>
      <c r="E3" s="25" t="s">
        <v>74</v>
      </c>
      <c r="F3" s="27">
        <v>74</v>
      </c>
      <c r="G3" s="16">
        <v>65.5</v>
      </c>
      <c r="H3">
        <f t="shared" ref="H3:H10" si="0">G3/$E$12</f>
        <v>55.621603260869563</v>
      </c>
      <c r="J3" s="166"/>
      <c r="K3" s="167"/>
    </row>
    <row r="4" spans="3:11" ht="15.75" thickBot="1">
      <c r="C4" s="25" t="s">
        <v>43</v>
      </c>
      <c r="D4" s="26" t="s">
        <v>83</v>
      </c>
      <c r="E4" s="25" t="s">
        <v>84</v>
      </c>
      <c r="F4" s="27">
        <v>53</v>
      </c>
      <c r="G4" s="16">
        <v>65.5</v>
      </c>
      <c r="H4">
        <f t="shared" si="0"/>
        <v>55.621603260869563</v>
      </c>
      <c r="J4" s="168"/>
      <c r="K4" s="169"/>
    </row>
    <row r="5" spans="3:11">
      <c r="C5" s="25" t="s">
        <v>42</v>
      </c>
      <c r="D5" s="26" t="s">
        <v>81</v>
      </c>
      <c r="E5" s="25" t="s">
        <v>82</v>
      </c>
      <c r="F5" s="27">
        <v>93</v>
      </c>
      <c r="G5" s="16">
        <v>60.5</v>
      </c>
      <c r="H5">
        <f t="shared" si="0"/>
        <v>51.375679347826086</v>
      </c>
    </row>
    <row r="6" spans="3:11">
      <c r="C6" s="25" t="s">
        <v>39</v>
      </c>
      <c r="D6" s="26" t="s">
        <v>68</v>
      </c>
      <c r="E6" s="25" t="s">
        <v>51</v>
      </c>
      <c r="F6" s="27">
        <v>64</v>
      </c>
      <c r="G6" s="16">
        <v>88</v>
      </c>
      <c r="H6">
        <f t="shared" si="0"/>
        <v>74.728260869565219</v>
      </c>
    </row>
    <row r="7" spans="3:11">
      <c r="C7" s="25" t="s">
        <v>45</v>
      </c>
      <c r="D7" s="26" t="s">
        <v>79</v>
      </c>
      <c r="E7" s="25" t="s">
        <v>80</v>
      </c>
      <c r="F7" s="27">
        <v>54</v>
      </c>
      <c r="G7" s="16">
        <v>98</v>
      </c>
      <c r="H7">
        <f t="shared" si="0"/>
        <v>83.220108695652172</v>
      </c>
    </row>
    <row r="8" spans="3:11">
      <c r="C8" s="25" t="s">
        <v>41</v>
      </c>
      <c r="D8" s="26" t="s">
        <v>69</v>
      </c>
      <c r="E8" s="25" t="s">
        <v>70</v>
      </c>
      <c r="F8" s="27">
        <v>44</v>
      </c>
      <c r="G8" s="16">
        <v>145</v>
      </c>
      <c r="H8">
        <f t="shared" si="0"/>
        <v>123.13179347826087</v>
      </c>
    </row>
    <row r="9" spans="3:11">
      <c r="C9" s="25"/>
      <c r="D9" s="26"/>
      <c r="E9" s="25"/>
      <c r="F9" s="27"/>
      <c r="G9" s="16"/>
      <c r="H9">
        <f t="shared" si="0"/>
        <v>0</v>
      </c>
    </row>
    <row r="10" spans="3:11">
      <c r="C10" s="25"/>
      <c r="D10" s="26"/>
      <c r="E10" s="25"/>
      <c r="F10" s="27"/>
      <c r="G10" s="16"/>
      <c r="H10">
        <f t="shared" si="0"/>
        <v>0</v>
      </c>
    </row>
    <row r="12" spans="3:11">
      <c r="D12" s="25" t="s">
        <v>61</v>
      </c>
      <c r="E12" s="25">
        <v>1.1776</v>
      </c>
    </row>
  </sheetData>
  <mergeCells count="1">
    <mergeCell ref="J2:K4"/>
  </mergeCells>
  <hyperlinks>
    <hyperlink ref="J2:K4" location="Fornecedores_Contentores!A1" display="INICIO" xr:uid="{46535B4A-C206-4192-BCFB-711486305A53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BB0A-E3DA-4F28-BF7A-B60921A6E429}">
  <sheetPr codeName="Folha37"/>
  <dimension ref="C1:K13"/>
  <sheetViews>
    <sheetView workbookViewId="0">
      <selection activeCell="J2" sqref="J2:K4"/>
    </sheetView>
  </sheetViews>
  <sheetFormatPr defaultRowHeight="15"/>
  <cols>
    <col min="3" max="3" width="12.140625" bestFit="1" customWidth="1"/>
    <col min="4" max="4" width="14.140625" bestFit="1" customWidth="1"/>
    <col min="5" max="5" width="19.7109375" bestFit="1" customWidth="1"/>
    <col min="6" max="6" width="8.1406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245</v>
      </c>
      <c r="D3" s="26" t="s">
        <v>246</v>
      </c>
      <c r="E3" s="25" t="s">
        <v>247</v>
      </c>
      <c r="F3" s="27">
        <v>357</v>
      </c>
      <c r="G3" s="16">
        <v>84.42</v>
      </c>
      <c r="H3">
        <f>G3/$E$13</f>
        <v>71.688179347826093</v>
      </c>
      <c r="J3" s="166"/>
      <c r="K3" s="167"/>
    </row>
    <row r="4" spans="3:11" ht="15.75" thickBot="1">
      <c r="C4" s="25"/>
      <c r="D4" s="26"/>
      <c r="E4" s="25"/>
      <c r="F4" s="27"/>
      <c r="G4" s="16"/>
      <c r="H4">
        <f t="shared" ref="H4:H10" si="0">G4/$E$13</f>
        <v>0</v>
      </c>
      <c r="J4" s="168"/>
      <c r="K4" s="169"/>
    </row>
    <row r="5" spans="3:11">
      <c r="C5" s="25"/>
      <c r="D5" s="26"/>
      <c r="E5" s="25"/>
      <c r="F5" s="27"/>
      <c r="G5" s="16"/>
      <c r="H5">
        <f t="shared" si="0"/>
        <v>0</v>
      </c>
    </row>
    <row r="6" spans="3:11">
      <c r="C6" s="25"/>
      <c r="D6" s="26"/>
      <c r="E6" s="25"/>
      <c r="F6" s="27"/>
      <c r="G6" s="16"/>
      <c r="H6">
        <f t="shared" si="0"/>
        <v>0</v>
      </c>
    </row>
    <row r="7" spans="3:11">
      <c r="C7" s="25"/>
      <c r="D7" s="26"/>
      <c r="E7" s="25"/>
      <c r="F7" s="27"/>
      <c r="G7" s="16"/>
      <c r="H7">
        <f t="shared" si="0"/>
        <v>0</v>
      </c>
    </row>
    <row r="8" spans="3:11">
      <c r="C8" s="25"/>
      <c r="D8" s="26"/>
      <c r="E8" s="25"/>
      <c r="F8" s="27"/>
      <c r="G8" s="16"/>
      <c r="H8">
        <f t="shared" si="0"/>
        <v>0</v>
      </c>
    </row>
    <row r="9" spans="3:11">
      <c r="C9" s="25"/>
      <c r="D9" s="26"/>
      <c r="E9" s="25"/>
      <c r="F9" s="27"/>
      <c r="G9" s="16"/>
      <c r="H9">
        <f t="shared" si="0"/>
        <v>0</v>
      </c>
    </row>
    <row r="10" spans="3:11">
      <c r="C10" s="25"/>
      <c r="D10" s="26"/>
      <c r="E10" s="25"/>
      <c r="F10" s="27"/>
      <c r="G10" s="16"/>
      <c r="H10">
        <f t="shared" si="0"/>
        <v>0</v>
      </c>
    </row>
    <row r="11" spans="3:11">
      <c r="C11" s="25"/>
      <c r="D11" s="26"/>
      <c r="E11" s="25"/>
      <c r="F11" s="27"/>
      <c r="G11" s="16"/>
      <c r="H11">
        <f>G11/$E$13</f>
        <v>0</v>
      </c>
    </row>
    <row r="13" spans="3:11">
      <c r="D13" s="25" t="s">
        <v>61</v>
      </c>
      <c r="E13" s="25">
        <v>1.1776</v>
      </c>
    </row>
  </sheetData>
  <mergeCells count="1">
    <mergeCell ref="J2:K4"/>
  </mergeCells>
  <hyperlinks>
    <hyperlink ref="J2:K4" location="Fornecedores_Contentores!A1" display="INICIO" xr:uid="{28AF4F14-78D3-4A1C-9988-679D69211965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784F-8508-4726-A01C-FC4178974E6E}">
  <sheetPr codeName="Folha38"/>
  <dimension ref="A1:K13"/>
  <sheetViews>
    <sheetView workbookViewId="0">
      <selection activeCell="J2" sqref="J2:K4"/>
    </sheetView>
  </sheetViews>
  <sheetFormatPr defaultRowHeight="15"/>
  <cols>
    <col min="3" max="3" width="17.5703125" bestFit="1" customWidth="1"/>
    <col min="4" max="4" width="14.140625" bestFit="1" customWidth="1"/>
    <col min="5" max="5" width="62.42578125" bestFit="1" customWidth="1"/>
    <col min="6" max="6" width="8.140625" bestFit="1" customWidth="1"/>
  </cols>
  <sheetData>
    <row r="1" spans="1:11" ht="15.75" thickBot="1">
      <c r="A1" s="9">
        <v>1.1929000000000001</v>
      </c>
    </row>
    <row r="2" spans="1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1:11">
      <c r="C3" s="25" t="s">
        <v>21</v>
      </c>
      <c r="D3" s="26" t="s">
        <v>50</v>
      </c>
      <c r="E3" s="25" t="s">
        <v>22</v>
      </c>
      <c r="F3" s="27">
        <v>392</v>
      </c>
      <c r="G3" s="16">
        <v>71.64</v>
      </c>
      <c r="H3">
        <f>G3/$E$13</f>
        <v>60.055327353508254</v>
      </c>
      <c r="J3" s="166"/>
      <c r="K3" s="167"/>
    </row>
    <row r="4" spans="1:11" ht="15.75" thickBot="1">
      <c r="C4" s="25"/>
      <c r="D4" s="26"/>
      <c r="E4" s="25"/>
      <c r="F4" s="27"/>
      <c r="G4" s="16"/>
      <c r="H4">
        <f t="shared" ref="H4:H10" si="0">G4/$E$13</f>
        <v>0</v>
      </c>
      <c r="J4" s="168"/>
      <c r="K4" s="169"/>
    </row>
    <row r="5" spans="1:11">
      <c r="C5" s="25"/>
      <c r="D5" s="26"/>
      <c r="E5" s="25"/>
      <c r="F5" s="27"/>
      <c r="G5" s="16"/>
      <c r="H5">
        <f t="shared" si="0"/>
        <v>0</v>
      </c>
    </row>
    <row r="6" spans="1:11">
      <c r="C6" s="25"/>
      <c r="D6" s="26"/>
      <c r="E6" s="25"/>
      <c r="F6" s="27"/>
      <c r="G6" s="16"/>
      <c r="H6">
        <f t="shared" si="0"/>
        <v>0</v>
      </c>
    </row>
    <row r="7" spans="1:11">
      <c r="C7" s="25"/>
      <c r="D7" s="26"/>
      <c r="E7" s="25"/>
      <c r="F7" s="27"/>
      <c r="G7" s="16"/>
      <c r="H7">
        <f t="shared" si="0"/>
        <v>0</v>
      </c>
    </row>
    <row r="8" spans="1:11">
      <c r="C8" s="25"/>
      <c r="D8" s="26"/>
      <c r="E8" s="25"/>
      <c r="F8" s="27"/>
      <c r="G8" s="16"/>
      <c r="H8">
        <f t="shared" si="0"/>
        <v>0</v>
      </c>
    </row>
    <row r="9" spans="1:11">
      <c r="C9" s="9"/>
      <c r="D9" s="15"/>
      <c r="E9" s="9"/>
      <c r="F9" s="17"/>
      <c r="G9" s="16"/>
      <c r="H9">
        <f t="shared" si="0"/>
        <v>0</v>
      </c>
    </row>
    <row r="10" spans="1:11">
      <c r="C10" s="19"/>
      <c r="D10" s="20"/>
      <c r="E10" s="19"/>
      <c r="F10" s="18"/>
      <c r="G10" s="16"/>
      <c r="H10">
        <f t="shared" si="0"/>
        <v>0</v>
      </c>
    </row>
    <row r="11" spans="1:11">
      <c r="C11" s="9"/>
      <c r="D11" s="15"/>
      <c r="E11" s="9"/>
      <c r="F11" s="17"/>
      <c r="G11" s="16"/>
      <c r="H11">
        <f>G11/$E$13</f>
        <v>0</v>
      </c>
    </row>
    <row r="13" spans="1:11">
      <c r="D13" s="9" t="s">
        <v>61</v>
      </c>
      <c r="E13" s="9">
        <v>1.1929000000000001</v>
      </c>
    </row>
  </sheetData>
  <mergeCells count="1">
    <mergeCell ref="J2:K4"/>
  </mergeCells>
  <hyperlinks>
    <hyperlink ref="J2:K4" location="Fornecedores_Contentores!A1" display="INICIO" xr:uid="{08D9E69C-F286-46D2-8E85-8275AFC8BB64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DFF69-FD70-4808-809D-67F89CE16F33}">
  <sheetPr codeName="Folha39"/>
  <dimension ref="A1:K11"/>
  <sheetViews>
    <sheetView workbookViewId="0">
      <selection activeCell="J2" sqref="J2:K4"/>
    </sheetView>
  </sheetViews>
  <sheetFormatPr defaultRowHeight="15"/>
  <cols>
    <col min="3" max="3" width="18.140625" bestFit="1" customWidth="1"/>
    <col min="4" max="4" width="14.140625" bestFit="1" customWidth="1"/>
    <col min="5" max="5" width="48.85546875" bestFit="1" customWidth="1"/>
    <col min="6" max="6" width="8.140625" bestFit="1" customWidth="1"/>
  </cols>
  <sheetData>
    <row r="1" spans="1:11" ht="15.75" thickBot="1">
      <c r="A1" s="9"/>
    </row>
    <row r="2" spans="1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1:11">
      <c r="C3" s="25" t="s">
        <v>85</v>
      </c>
      <c r="D3" s="26">
        <v>5600413207321</v>
      </c>
      <c r="E3" s="25" t="s">
        <v>86</v>
      </c>
      <c r="F3" s="27">
        <v>225</v>
      </c>
      <c r="G3" s="16">
        <v>38</v>
      </c>
      <c r="H3">
        <f t="shared" ref="H3:H9" si="0">G3/$E$11</f>
        <v>32.744506678155965</v>
      </c>
      <c r="J3" s="166"/>
      <c r="K3" s="167"/>
    </row>
    <row r="4" spans="1:11" ht="15.75" thickBot="1">
      <c r="C4" s="25" t="s">
        <v>87</v>
      </c>
      <c r="D4" s="26">
        <v>5600413207338</v>
      </c>
      <c r="E4" s="25" t="s">
        <v>88</v>
      </c>
      <c r="F4" s="27">
        <v>225</v>
      </c>
      <c r="G4" s="16">
        <v>27</v>
      </c>
      <c r="H4">
        <f t="shared" si="0"/>
        <v>23.265833692373974</v>
      </c>
      <c r="J4" s="168"/>
      <c r="K4" s="169"/>
    </row>
    <row r="5" spans="1:11">
      <c r="C5" s="25" t="s">
        <v>89</v>
      </c>
      <c r="D5" s="26">
        <v>5600413207345</v>
      </c>
      <c r="E5" s="25" t="s">
        <v>90</v>
      </c>
      <c r="F5" s="27">
        <v>284</v>
      </c>
      <c r="G5" s="16">
        <v>71.5</v>
      </c>
      <c r="H5">
        <f t="shared" si="0"/>
        <v>61.611374407582936</v>
      </c>
    </row>
    <row r="6" spans="1:11">
      <c r="C6" s="25" t="s">
        <v>91</v>
      </c>
      <c r="D6" s="26">
        <v>5600413207307</v>
      </c>
      <c r="E6" s="25" t="s">
        <v>111</v>
      </c>
      <c r="F6" s="27">
        <v>124</v>
      </c>
      <c r="G6" s="16">
        <v>107</v>
      </c>
      <c r="H6">
        <f t="shared" si="0"/>
        <v>92.201637225333897</v>
      </c>
    </row>
    <row r="7" spans="1:11">
      <c r="C7" s="9"/>
      <c r="D7" s="15"/>
      <c r="E7" s="9"/>
      <c r="F7" s="17"/>
      <c r="G7" s="16"/>
      <c r="H7">
        <f t="shared" si="0"/>
        <v>0</v>
      </c>
    </row>
    <row r="8" spans="1:11">
      <c r="C8" s="19"/>
      <c r="D8" s="20"/>
      <c r="E8" s="19"/>
      <c r="F8" s="18"/>
      <c r="G8" s="16"/>
      <c r="H8">
        <f t="shared" si="0"/>
        <v>0</v>
      </c>
    </row>
    <row r="9" spans="1:11">
      <c r="C9" s="9"/>
      <c r="D9" s="15"/>
      <c r="E9" s="9"/>
      <c r="F9" s="17"/>
      <c r="G9" s="16"/>
      <c r="H9">
        <f t="shared" si="0"/>
        <v>0</v>
      </c>
    </row>
    <row r="11" spans="1:11">
      <c r="D11" s="9" t="s">
        <v>61</v>
      </c>
      <c r="E11" s="25">
        <v>1.1605000000000001</v>
      </c>
    </row>
  </sheetData>
  <mergeCells count="1">
    <mergeCell ref="J2:K4"/>
  </mergeCells>
  <hyperlinks>
    <hyperlink ref="J2:K4" location="Fornecedores_Contentores!A1" display="INICIO" xr:uid="{4E927F10-3F40-423E-B7DF-3BD8EC7CCF2D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A1010-6C80-4E23-B993-F15BB4136F2E}">
  <sheetPr codeName="Folha40"/>
  <dimension ref="C1:K13"/>
  <sheetViews>
    <sheetView workbookViewId="0">
      <selection activeCell="J2" sqref="J2:K4"/>
    </sheetView>
  </sheetViews>
  <sheetFormatPr defaultRowHeight="15"/>
  <cols>
    <col min="3" max="3" width="18.140625" bestFit="1" customWidth="1"/>
    <col min="4" max="4" width="14.140625" bestFit="1" customWidth="1"/>
    <col min="5" max="5" width="48.85546875" bestFit="1" customWidth="1"/>
    <col min="6" max="6" width="8.140625" bestFit="1" customWidth="1"/>
  </cols>
  <sheetData>
    <row r="1" spans="3:11" ht="15.75" thickBot="1"/>
    <row r="2" spans="3:11">
      <c r="C2" s="10" t="s">
        <v>15</v>
      </c>
      <c r="D2" s="10"/>
      <c r="E2" s="10" t="s">
        <v>16</v>
      </c>
      <c r="F2" s="10" t="s">
        <v>17</v>
      </c>
      <c r="J2" s="164" t="s">
        <v>26</v>
      </c>
      <c r="K2" s="165"/>
    </row>
    <row r="3" spans="3:11">
      <c r="C3" s="23" t="s">
        <v>39</v>
      </c>
      <c r="D3" s="20" t="s">
        <v>68</v>
      </c>
      <c r="E3" s="19" t="s">
        <v>51</v>
      </c>
      <c r="F3" s="17">
        <v>50</v>
      </c>
      <c r="G3" s="16">
        <v>88</v>
      </c>
      <c r="H3">
        <f>G3/$E$13</f>
        <v>73.769804677676248</v>
      </c>
      <c r="J3" s="166"/>
      <c r="K3" s="167"/>
    </row>
    <row r="4" spans="3:11" ht="15.75" thickBot="1">
      <c r="C4" s="21" t="s">
        <v>41</v>
      </c>
      <c r="D4" s="15" t="s">
        <v>69</v>
      </c>
      <c r="E4" s="9" t="s">
        <v>70</v>
      </c>
      <c r="F4" s="17">
        <v>100</v>
      </c>
      <c r="G4" s="16">
        <v>145</v>
      </c>
      <c r="H4">
        <f t="shared" ref="H4:H10" si="0">G4/$E$13</f>
        <v>121.55251907117109</v>
      </c>
      <c r="J4" s="168"/>
      <c r="K4" s="169"/>
    </row>
    <row r="5" spans="3:11">
      <c r="C5" s="21" t="s">
        <v>42</v>
      </c>
      <c r="D5" s="20" t="s">
        <v>81</v>
      </c>
      <c r="E5" s="19" t="s">
        <v>82</v>
      </c>
      <c r="F5" s="17">
        <v>85</v>
      </c>
      <c r="G5" s="16">
        <v>60.5</v>
      </c>
      <c r="H5">
        <f t="shared" si="0"/>
        <v>50.716740715902418</v>
      </c>
    </row>
    <row r="6" spans="3:11">
      <c r="C6" s="23" t="s">
        <v>43</v>
      </c>
      <c r="D6" s="20" t="s">
        <v>83</v>
      </c>
      <c r="E6" s="19" t="s">
        <v>84</v>
      </c>
      <c r="F6" s="17">
        <v>70</v>
      </c>
      <c r="G6" s="16">
        <v>65.5</v>
      </c>
      <c r="H6">
        <f t="shared" si="0"/>
        <v>54.908206890770387</v>
      </c>
    </row>
    <row r="7" spans="3:11">
      <c r="C7" s="23" t="s">
        <v>44</v>
      </c>
      <c r="D7" s="20" t="s">
        <v>73</v>
      </c>
      <c r="E7" s="19" t="s">
        <v>74</v>
      </c>
      <c r="F7" s="17">
        <v>85</v>
      </c>
      <c r="G7" s="16">
        <v>65.5</v>
      </c>
      <c r="H7">
        <f t="shared" si="0"/>
        <v>54.908206890770387</v>
      </c>
    </row>
    <row r="8" spans="3:11">
      <c r="C8" s="19"/>
      <c r="D8" s="20"/>
      <c r="E8" s="19"/>
      <c r="F8" s="17"/>
      <c r="G8" s="16"/>
      <c r="H8">
        <f t="shared" si="0"/>
        <v>0</v>
      </c>
    </row>
    <row r="9" spans="3:11">
      <c r="C9" s="9"/>
      <c r="D9" s="15"/>
      <c r="E9" s="9"/>
      <c r="F9" s="17"/>
      <c r="G9" s="16"/>
      <c r="H9">
        <f t="shared" si="0"/>
        <v>0</v>
      </c>
    </row>
    <row r="10" spans="3:11">
      <c r="C10" s="19"/>
      <c r="D10" s="20"/>
      <c r="E10" s="19"/>
      <c r="F10" s="18"/>
      <c r="G10" s="16"/>
      <c r="H10">
        <f t="shared" si="0"/>
        <v>0</v>
      </c>
    </row>
    <row r="11" spans="3:11">
      <c r="C11" s="9"/>
      <c r="D11" s="15"/>
      <c r="E11" s="9"/>
      <c r="F11" s="17"/>
      <c r="G11" s="16"/>
      <c r="H11">
        <f>G11/$E$13</f>
        <v>0</v>
      </c>
    </row>
    <row r="13" spans="3:11">
      <c r="D13" s="9" t="s">
        <v>61</v>
      </c>
      <c r="E13" s="9">
        <v>1.1929000000000001</v>
      </c>
    </row>
  </sheetData>
  <mergeCells count="1">
    <mergeCell ref="J2:K4"/>
  </mergeCells>
  <hyperlinks>
    <hyperlink ref="J2:K4" location="Fornecedores_Contentores!A1" display="INICIO" xr:uid="{B7C61D4C-56E8-4510-9AA8-B644E9B4B474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35761-7647-495E-98D4-EADC268AA292}">
  <sheetPr codeName="Folha41"/>
  <dimension ref="C1:K13"/>
  <sheetViews>
    <sheetView workbookViewId="0">
      <selection activeCell="J2" sqref="J2:K4"/>
    </sheetView>
  </sheetViews>
  <sheetFormatPr defaultRowHeight="15"/>
  <cols>
    <col min="3" max="3" width="21.5703125" customWidth="1"/>
    <col min="4" max="4" width="14.140625" bestFit="1" customWidth="1"/>
    <col min="5" max="5" width="55.42578125" bestFit="1" customWidth="1"/>
    <col min="6" max="6" width="8.140625" bestFit="1" customWidth="1"/>
  </cols>
  <sheetData>
    <row r="1" spans="3:11" ht="15.75" thickBot="1"/>
    <row r="2" spans="3:11">
      <c r="C2" s="10" t="s">
        <v>15</v>
      </c>
      <c r="D2" s="10"/>
      <c r="E2" s="10" t="s">
        <v>16</v>
      </c>
      <c r="F2" s="10" t="s">
        <v>17</v>
      </c>
      <c r="J2" s="164" t="s">
        <v>26</v>
      </c>
      <c r="K2" s="165"/>
    </row>
    <row r="3" spans="3:11">
      <c r="C3" s="23" t="s">
        <v>202</v>
      </c>
      <c r="D3" s="20">
        <v>5600413207628</v>
      </c>
      <c r="E3" s="19" t="s">
        <v>208</v>
      </c>
      <c r="F3" s="17">
        <v>500</v>
      </c>
      <c r="G3" s="16">
        <v>1.9</v>
      </c>
      <c r="H3">
        <f>G3/$E$13</f>
        <v>1.6181229773462784</v>
      </c>
      <c r="J3" s="166"/>
      <c r="K3" s="167"/>
    </row>
    <row r="4" spans="3:11" ht="15.75" thickBot="1">
      <c r="C4" s="21" t="s">
        <v>203</v>
      </c>
      <c r="D4" s="15">
        <v>5600413208014</v>
      </c>
      <c r="E4" s="9" t="s">
        <v>209</v>
      </c>
      <c r="F4" s="17">
        <v>250</v>
      </c>
      <c r="G4" s="16">
        <v>26</v>
      </c>
      <c r="H4">
        <f t="shared" ref="H4:H10" si="0">G4/$E$13</f>
        <v>22.142735479475387</v>
      </c>
      <c r="J4" s="168"/>
      <c r="K4" s="169"/>
    </row>
    <row r="5" spans="3:11">
      <c r="C5" s="21" t="s">
        <v>204</v>
      </c>
      <c r="D5" s="20">
        <v>5600413208021</v>
      </c>
      <c r="E5" s="19" t="s">
        <v>210</v>
      </c>
      <c r="F5" s="17">
        <v>250</v>
      </c>
      <c r="G5" s="16">
        <v>32</v>
      </c>
      <c r="H5">
        <f t="shared" si="0"/>
        <v>27.252597513200477</v>
      </c>
    </row>
    <row r="6" spans="3:11">
      <c r="C6" s="9" t="s">
        <v>205</v>
      </c>
      <c r="D6" s="20">
        <v>5600413208038</v>
      </c>
      <c r="E6" s="19" t="s">
        <v>211</v>
      </c>
      <c r="F6" s="17">
        <v>300</v>
      </c>
      <c r="G6" s="16">
        <v>22.3</v>
      </c>
      <c r="H6">
        <f t="shared" si="0"/>
        <v>18.991653892011584</v>
      </c>
    </row>
    <row r="7" spans="3:11">
      <c r="C7" s="19" t="s">
        <v>206</v>
      </c>
      <c r="D7" s="20">
        <v>5600413208052</v>
      </c>
      <c r="E7" s="19" t="s">
        <v>212</v>
      </c>
      <c r="F7" s="17">
        <v>500</v>
      </c>
      <c r="G7" s="16">
        <v>30.1</v>
      </c>
      <c r="H7">
        <f t="shared" si="0"/>
        <v>25.634474535854203</v>
      </c>
    </row>
    <row r="8" spans="3:11">
      <c r="C8" s="9" t="s">
        <v>207</v>
      </c>
      <c r="D8" s="20">
        <v>5600413208045</v>
      </c>
      <c r="E8" s="19" t="s">
        <v>213</v>
      </c>
      <c r="F8" s="17">
        <v>274</v>
      </c>
      <c r="G8" s="16">
        <v>26.9</v>
      </c>
      <c r="H8">
        <f t="shared" si="0"/>
        <v>22.90921478453415</v>
      </c>
    </row>
    <row r="9" spans="3:11">
      <c r="C9" s="9"/>
      <c r="D9" s="15"/>
      <c r="E9" s="9"/>
      <c r="F9" s="17"/>
      <c r="G9" s="16"/>
      <c r="H9">
        <f t="shared" si="0"/>
        <v>0</v>
      </c>
    </row>
    <row r="10" spans="3:11">
      <c r="C10" s="19"/>
      <c r="D10" s="20"/>
      <c r="E10" s="19"/>
      <c r="F10" s="18"/>
      <c r="G10" s="16"/>
      <c r="H10">
        <f t="shared" si="0"/>
        <v>0</v>
      </c>
    </row>
    <row r="11" spans="3:11">
      <c r="C11" s="9"/>
      <c r="D11" s="15"/>
      <c r="E11" s="9"/>
      <c r="F11" s="17"/>
      <c r="G11" s="16"/>
      <c r="H11">
        <f>G11/$E$13</f>
        <v>0</v>
      </c>
    </row>
    <row r="13" spans="3:11">
      <c r="D13" s="9" t="s">
        <v>61</v>
      </c>
      <c r="E13" s="9">
        <v>1.1741999999999999</v>
      </c>
    </row>
  </sheetData>
  <mergeCells count="1">
    <mergeCell ref="J2:K4"/>
  </mergeCells>
  <hyperlinks>
    <hyperlink ref="J2:K4" location="Fornecedores_Contentores!A1" display="INICIO" xr:uid="{59F51351-9442-4B0B-865F-E281BEB0669F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3090-6FE9-47B1-A5F9-79E93AB06BB1}">
  <sheetPr codeName="Folha42"/>
  <dimension ref="C1:K13"/>
  <sheetViews>
    <sheetView workbookViewId="0">
      <selection activeCell="J2" sqref="J2:K4"/>
    </sheetView>
  </sheetViews>
  <sheetFormatPr defaultRowHeight="15"/>
  <cols>
    <col min="3" max="3" width="22.42578125" bestFit="1" customWidth="1"/>
    <col min="4" max="4" width="14.140625" bestFit="1" customWidth="1"/>
    <col min="5" max="5" width="53" bestFit="1" customWidth="1"/>
    <col min="6" max="6" width="8.140625" bestFit="1" customWidth="1"/>
    <col min="7" max="7" width="5.5703125" bestFit="1" customWidth="1"/>
    <col min="8" max="8" width="7.7109375" bestFit="1" customWidth="1"/>
  </cols>
  <sheetData>
    <row r="1" spans="3:11" ht="15.75" thickBot="1"/>
    <row r="2" spans="3:11">
      <c r="C2" s="10" t="s">
        <v>15</v>
      </c>
      <c r="D2" s="10"/>
      <c r="E2" s="10" t="s">
        <v>16</v>
      </c>
      <c r="F2" s="10" t="s">
        <v>17</v>
      </c>
      <c r="J2" s="164" t="s">
        <v>26</v>
      </c>
      <c r="K2" s="165"/>
    </row>
    <row r="3" spans="3:11">
      <c r="C3" s="21" t="s">
        <v>124</v>
      </c>
      <c r="D3" s="15" t="s">
        <v>195</v>
      </c>
      <c r="E3" s="9" t="s">
        <v>196</v>
      </c>
      <c r="F3" s="17">
        <v>20</v>
      </c>
      <c r="G3" s="16">
        <v>37.5</v>
      </c>
      <c r="H3">
        <f>G3/$E$13</f>
        <v>31.435996311509765</v>
      </c>
      <c r="J3" s="166"/>
      <c r="K3" s="167"/>
    </row>
    <row r="4" spans="3:11" ht="15.75" thickBot="1">
      <c r="C4" s="21" t="s">
        <v>126</v>
      </c>
      <c r="D4" s="15" t="s">
        <v>140</v>
      </c>
      <c r="E4" s="9" t="s">
        <v>141</v>
      </c>
      <c r="F4" s="17">
        <v>125</v>
      </c>
      <c r="G4" s="16">
        <v>71</v>
      </c>
      <c r="H4">
        <f t="shared" ref="H4:H10" si="0">G4/$E$13</f>
        <v>59.518819683125152</v>
      </c>
      <c r="J4" s="168"/>
      <c r="K4" s="169"/>
    </row>
    <row r="5" spans="3:11">
      <c r="C5" s="21" t="s">
        <v>125</v>
      </c>
      <c r="D5" s="20" t="s">
        <v>197</v>
      </c>
      <c r="E5" s="19" t="s">
        <v>198</v>
      </c>
      <c r="F5" s="17">
        <v>60</v>
      </c>
      <c r="G5" s="16">
        <v>80.5</v>
      </c>
      <c r="H5">
        <f t="shared" si="0"/>
        <v>67.482605415374294</v>
      </c>
    </row>
    <row r="6" spans="3:11">
      <c r="C6" s="23" t="s">
        <v>45</v>
      </c>
      <c r="D6" s="20" t="s">
        <v>79</v>
      </c>
      <c r="E6" s="19" t="s">
        <v>80</v>
      </c>
      <c r="F6" s="17">
        <v>150</v>
      </c>
      <c r="G6" s="16">
        <v>98</v>
      </c>
      <c r="H6">
        <f t="shared" si="0"/>
        <v>82.152737027412186</v>
      </c>
    </row>
    <row r="7" spans="3:11">
      <c r="C7" s="23" t="s">
        <v>39</v>
      </c>
      <c r="D7" s="20" t="s">
        <v>68</v>
      </c>
      <c r="E7" s="19" t="s">
        <v>51</v>
      </c>
      <c r="F7" s="17">
        <v>30</v>
      </c>
      <c r="G7" s="16">
        <v>88</v>
      </c>
      <c r="H7">
        <f t="shared" si="0"/>
        <v>73.769804677676248</v>
      </c>
    </row>
    <row r="8" spans="3:11">
      <c r="C8" s="19"/>
      <c r="D8" s="20"/>
      <c r="E8" s="19"/>
      <c r="F8" s="17"/>
      <c r="G8" s="16"/>
      <c r="H8">
        <f t="shared" si="0"/>
        <v>0</v>
      </c>
    </row>
    <row r="9" spans="3:11">
      <c r="C9" s="9"/>
      <c r="D9" s="15"/>
      <c r="E9" s="9"/>
      <c r="F9" s="17"/>
      <c r="G9" s="16"/>
      <c r="H9">
        <f t="shared" si="0"/>
        <v>0</v>
      </c>
    </row>
    <row r="10" spans="3:11">
      <c r="C10" s="19"/>
      <c r="D10" s="20"/>
      <c r="E10" s="19"/>
      <c r="F10" s="18"/>
      <c r="G10" s="16"/>
      <c r="H10">
        <f t="shared" si="0"/>
        <v>0</v>
      </c>
    </row>
    <row r="11" spans="3:11">
      <c r="C11" s="9"/>
      <c r="D11" s="15"/>
      <c r="E11" s="9"/>
      <c r="F11" s="17"/>
      <c r="G11" s="16"/>
      <c r="H11">
        <f>G11/$E$13</f>
        <v>0</v>
      </c>
    </row>
    <row r="13" spans="3:11">
      <c r="D13" s="9" t="s">
        <v>61</v>
      </c>
      <c r="E13" s="9">
        <v>1.1929000000000001</v>
      </c>
    </row>
  </sheetData>
  <mergeCells count="1">
    <mergeCell ref="J2:K4"/>
  </mergeCells>
  <hyperlinks>
    <hyperlink ref="J2:K4" location="Fornecedores_Contentores!A1" display="INICIO" xr:uid="{B775E884-EC36-4A92-BF89-1BBACA7AE657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C6A8-CD76-4EFC-AE44-866C4D69E3C0}">
  <sheetPr codeName="Folha43">
    <tabColor rgb="FFFFC000"/>
  </sheetPr>
  <dimension ref="C1:K13"/>
  <sheetViews>
    <sheetView workbookViewId="0">
      <selection activeCell="J2" sqref="J2:K4"/>
    </sheetView>
  </sheetViews>
  <sheetFormatPr defaultRowHeight="15"/>
  <cols>
    <col min="3" max="3" width="22.42578125" bestFit="1" customWidth="1"/>
    <col min="4" max="4" width="14.140625" bestFit="1" customWidth="1"/>
    <col min="5" max="5" width="53" bestFit="1" customWidth="1"/>
    <col min="6" max="6" width="8.140625" bestFit="1" customWidth="1"/>
  </cols>
  <sheetData>
    <row r="1" spans="3:11" ht="15.75" thickBot="1"/>
    <row r="2" spans="3:11">
      <c r="C2" s="10" t="s">
        <v>15</v>
      </c>
      <c r="D2" s="10"/>
      <c r="E2" s="10" t="s">
        <v>16</v>
      </c>
      <c r="F2" s="10" t="s">
        <v>17</v>
      </c>
      <c r="J2" s="164" t="s">
        <v>26</v>
      </c>
      <c r="K2" s="165"/>
    </row>
    <row r="3" spans="3:11">
      <c r="C3" s="21" t="s">
        <v>180</v>
      </c>
      <c r="D3" s="15">
        <v>8436587975981</v>
      </c>
      <c r="E3" s="9" t="s">
        <v>188</v>
      </c>
      <c r="F3" s="17">
        <v>150</v>
      </c>
      <c r="G3" s="16">
        <v>35.81</v>
      </c>
      <c r="H3">
        <f>G3/$E$13</f>
        <v>30.690778196777512</v>
      </c>
      <c r="J3" s="166"/>
      <c r="K3" s="167"/>
    </row>
    <row r="4" spans="3:11" ht="15.75" thickBot="1">
      <c r="C4" s="21" t="s">
        <v>181</v>
      </c>
      <c r="D4" s="15">
        <v>8436587975974</v>
      </c>
      <c r="E4" s="9" t="s">
        <v>189</v>
      </c>
      <c r="F4" s="17">
        <v>170</v>
      </c>
      <c r="G4" s="16">
        <v>33</v>
      </c>
      <c r="H4">
        <f t="shared" ref="H4:H10" si="0">G4/$E$13</f>
        <v>28.282482002056906</v>
      </c>
      <c r="J4" s="168"/>
      <c r="K4" s="169"/>
    </row>
    <row r="5" spans="3:11">
      <c r="C5" s="21" t="s">
        <v>182</v>
      </c>
      <c r="D5" s="20">
        <v>8436587976018</v>
      </c>
      <c r="E5" s="19" t="s">
        <v>190</v>
      </c>
      <c r="F5" s="17">
        <v>150</v>
      </c>
      <c r="G5" s="16">
        <v>27.5</v>
      </c>
      <c r="H5">
        <f t="shared" si="0"/>
        <v>23.568735001714089</v>
      </c>
    </row>
    <row r="6" spans="3:11">
      <c r="C6" s="23" t="s">
        <v>183</v>
      </c>
      <c r="D6" s="20">
        <v>8436587976001</v>
      </c>
      <c r="E6" s="19" t="s">
        <v>191</v>
      </c>
      <c r="F6" s="17">
        <v>170</v>
      </c>
      <c r="G6" s="16">
        <v>31.4</v>
      </c>
      <c r="H6">
        <f t="shared" si="0"/>
        <v>26.911210147411722</v>
      </c>
    </row>
    <row r="7" spans="3:11">
      <c r="C7" s="23" t="s">
        <v>184</v>
      </c>
      <c r="D7" s="20">
        <v>8436587975967</v>
      </c>
      <c r="E7" s="19" t="s">
        <v>185</v>
      </c>
      <c r="F7" s="17">
        <v>150</v>
      </c>
      <c r="G7" s="16">
        <v>36.75</v>
      </c>
      <c r="H7">
        <f t="shared" si="0"/>
        <v>31.496400411381554</v>
      </c>
    </row>
    <row r="8" spans="3:11">
      <c r="C8" s="19" t="s">
        <v>187</v>
      </c>
      <c r="D8" s="20">
        <v>8436587975950</v>
      </c>
      <c r="E8" s="19" t="s">
        <v>186</v>
      </c>
      <c r="F8" s="17">
        <v>170</v>
      </c>
      <c r="G8" s="16">
        <v>34.130000000000003</v>
      </c>
      <c r="H8">
        <f t="shared" si="0"/>
        <v>29.250942749400068</v>
      </c>
    </row>
    <row r="9" spans="3:11">
      <c r="C9" s="9"/>
      <c r="D9" s="15"/>
      <c r="E9" s="9"/>
      <c r="F9" s="17"/>
      <c r="G9" s="16"/>
      <c r="H9">
        <f t="shared" si="0"/>
        <v>0</v>
      </c>
    </row>
    <row r="10" spans="3:11">
      <c r="C10" s="19"/>
      <c r="D10" s="20"/>
      <c r="E10" s="19"/>
      <c r="F10" s="18"/>
      <c r="G10" s="16"/>
      <c r="H10">
        <f t="shared" si="0"/>
        <v>0</v>
      </c>
    </row>
    <row r="11" spans="3:11">
      <c r="C11" s="9"/>
      <c r="D11" s="15"/>
      <c r="E11" s="9"/>
      <c r="F11" s="17"/>
      <c r="G11" s="16"/>
      <c r="H11">
        <f>G11/$E$13</f>
        <v>0</v>
      </c>
    </row>
    <row r="13" spans="3:11">
      <c r="D13" s="9" t="s">
        <v>61</v>
      </c>
      <c r="E13" s="9">
        <v>1.1668000000000001</v>
      </c>
    </row>
  </sheetData>
  <mergeCells count="1">
    <mergeCell ref="J2:K4"/>
  </mergeCells>
  <hyperlinks>
    <hyperlink ref="J2:K4" location="Fornecedores_Contentores!A1" display="INICIO" xr:uid="{E514464B-443B-4455-AF72-1B3E6091CE26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B5A67-DC80-416D-BCC7-0AF8B75D6453}">
  <sheetPr codeName="Folha44"/>
  <dimension ref="C1:K13"/>
  <sheetViews>
    <sheetView workbookViewId="0">
      <selection activeCell="J2" sqref="J2:K4"/>
    </sheetView>
  </sheetViews>
  <sheetFormatPr defaultRowHeight="15"/>
  <cols>
    <col min="3" max="3" width="21.140625" bestFit="1" customWidth="1"/>
    <col min="4" max="4" width="14.140625" bestFit="1" customWidth="1"/>
    <col min="5" max="5" width="42.5703125" bestFit="1" customWidth="1"/>
    <col min="6" max="6" width="8.140625" bestFit="1" customWidth="1"/>
  </cols>
  <sheetData>
    <row r="1" spans="3:11" ht="15.75" thickBot="1"/>
    <row r="2" spans="3:11">
      <c r="C2" s="10" t="s">
        <v>15</v>
      </c>
      <c r="D2" s="10"/>
      <c r="E2" s="10" t="s">
        <v>16</v>
      </c>
      <c r="F2" s="10" t="s">
        <v>17</v>
      </c>
      <c r="J2" s="164" t="s">
        <v>26</v>
      </c>
      <c r="K2" s="165"/>
    </row>
    <row r="3" spans="3:11">
      <c r="C3" s="21" t="s">
        <v>95</v>
      </c>
      <c r="D3" s="15" t="s">
        <v>96</v>
      </c>
      <c r="E3" s="9" t="s">
        <v>97</v>
      </c>
      <c r="F3" s="17">
        <v>131</v>
      </c>
      <c r="G3" s="16">
        <v>18.5</v>
      </c>
      <c r="H3">
        <f>G3/$E$13</f>
        <v>15.915347556779077</v>
      </c>
      <c r="J3" s="166"/>
      <c r="K3" s="167"/>
    </row>
    <row r="4" spans="3:11" ht="15.75" thickBot="1">
      <c r="C4" s="21" t="s">
        <v>101</v>
      </c>
      <c r="D4" s="15" t="s">
        <v>102</v>
      </c>
      <c r="E4" s="9" t="s">
        <v>103</v>
      </c>
      <c r="F4" s="17">
        <v>300</v>
      </c>
      <c r="G4" s="16">
        <v>34.6</v>
      </c>
      <c r="H4">
        <f t="shared" ref="H4:H10" si="0">G4/$E$13</f>
        <v>29.766001376462491</v>
      </c>
      <c r="J4" s="168"/>
      <c r="K4" s="169"/>
    </row>
    <row r="5" spans="3:11">
      <c r="C5" s="21" t="s">
        <v>98</v>
      </c>
      <c r="D5" s="20" t="s">
        <v>99</v>
      </c>
      <c r="E5" s="19" t="s">
        <v>100</v>
      </c>
      <c r="F5" s="18">
        <v>213</v>
      </c>
      <c r="G5" s="16">
        <v>32</v>
      </c>
      <c r="H5">
        <f t="shared" si="0"/>
        <v>27.529249827942188</v>
      </c>
    </row>
    <row r="6" spans="3:11">
      <c r="C6" s="23" t="s">
        <v>60</v>
      </c>
      <c r="D6" s="20" t="s">
        <v>179</v>
      </c>
      <c r="E6" s="19" t="s">
        <v>29</v>
      </c>
      <c r="F6" s="18">
        <v>500</v>
      </c>
      <c r="G6" s="16">
        <v>7.2</v>
      </c>
      <c r="H6">
        <f t="shared" si="0"/>
        <v>6.1940812112869921</v>
      </c>
    </row>
    <row r="7" spans="3:11">
      <c r="C7" s="23" t="s">
        <v>92</v>
      </c>
      <c r="D7" s="20" t="s">
        <v>27</v>
      </c>
      <c r="E7" s="19" t="s">
        <v>28</v>
      </c>
      <c r="F7" s="18">
        <v>5000</v>
      </c>
      <c r="G7" s="16">
        <v>1.95</v>
      </c>
      <c r="H7">
        <f t="shared" si="0"/>
        <v>1.6775636613902269</v>
      </c>
    </row>
    <row r="8" spans="3:11">
      <c r="C8" s="19"/>
      <c r="D8" s="20"/>
      <c r="E8" s="19"/>
      <c r="F8" s="18"/>
      <c r="G8" s="16"/>
      <c r="H8">
        <f t="shared" si="0"/>
        <v>0</v>
      </c>
    </row>
    <row r="9" spans="3:11">
      <c r="C9" s="9"/>
      <c r="D9" s="15"/>
      <c r="E9" s="9"/>
      <c r="F9" s="17"/>
      <c r="G9" s="16"/>
      <c r="H9">
        <f t="shared" si="0"/>
        <v>0</v>
      </c>
    </row>
    <row r="10" spans="3:11">
      <c r="C10" s="19"/>
      <c r="D10" s="20"/>
      <c r="E10" s="19"/>
      <c r="F10" s="18"/>
      <c r="G10" s="16"/>
      <c r="H10">
        <f t="shared" si="0"/>
        <v>0</v>
      </c>
    </row>
    <row r="11" spans="3:11">
      <c r="C11" s="9"/>
      <c r="D11" s="15"/>
      <c r="E11" s="9"/>
      <c r="F11" s="17"/>
      <c r="G11" s="16"/>
      <c r="H11">
        <f>G11/$E$13</f>
        <v>0</v>
      </c>
    </row>
    <row r="13" spans="3:11">
      <c r="D13" s="9" t="s">
        <v>61</v>
      </c>
      <c r="E13" s="9">
        <v>1.1624000000000001</v>
      </c>
    </row>
  </sheetData>
  <mergeCells count="1">
    <mergeCell ref="J2:K4"/>
  </mergeCells>
  <hyperlinks>
    <hyperlink ref="J2:K4" location="Fornecedores_Contentores!A1" display="INICIO" xr:uid="{A452CFD1-7139-4868-B678-C227C5E59E98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0C918-8A42-4209-B669-3A3F738658C3}">
  <sheetPr codeName="Folha45">
    <tabColor rgb="FFFFC000"/>
  </sheetPr>
  <dimension ref="C1:K13"/>
  <sheetViews>
    <sheetView workbookViewId="0">
      <selection activeCell="J2" sqref="J2:K4"/>
    </sheetView>
  </sheetViews>
  <sheetFormatPr defaultRowHeight="15"/>
  <cols>
    <col min="3" max="3" width="23.28515625" bestFit="1" customWidth="1"/>
    <col min="4" max="4" width="14.140625" bestFit="1" customWidth="1"/>
    <col min="5" max="5" width="46.28515625" bestFit="1" customWidth="1"/>
    <col min="6" max="6" width="8.140625" bestFit="1" customWidth="1"/>
  </cols>
  <sheetData>
    <row r="1" spans="3:11" ht="15.75" thickBot="1"/>
    <row r="2" spans="3:11">
      <c r="C2" s="24" t="s">
        <v>15</v>
      </c>
      <c r="D2" s="24"/>
      <c r="E2" s="24" t="s">
        <v>16</v>
      </c>
      <c r="F2" s="24" t="s">
        <v>17</v>
      </c>
      <c r="J2" s="164" t="s">
        <v>26</v>
      </c>
      <c r="K2" s="165"/>
    </row>
    <row r="3" spans="3:11">
      <c r="C3" s="25" t="s">
        <v>245</v>
      </c>
      <c r="D3" s="26" t="s">
        <v>246</v>
      </c>
      <c r="E3" s="25" t="s">
        <v>247</v>
      </c>
      <c r="F3" s="27">
        <v>357</v>
      </c>
      <c r="G3" s="16">
        <v>84.42</v>
      </c>
      <c r="H3">
        <f>G3/$E$13</f>
        <v>72.625602202339977</v>
      </c>
      <c r="J3" s="166"/>
      <c r="K3" s="167"/>
    </row>
    <row r="4" spans="3:11" ht="15.75" thickBot="1">
      <c r="C4" s="25"/>
      <c r="D4" s="26"/>
      <c r="E4" s="25"/>
      <c r="F4" s="27"/>
      <c r="G4" s="16"/>
      <c r="H4">
        <f t="shared" ref="H4:H10" si="0">G4/$E$13</f>
        <v>0</v>
      </c>
      <c r="J4" s="168"/>
      <c r="K4" s="169"/>
    </row>
    <row r="5" spans="3:11">
      <c r="C5" s="25"/>
      <c r="D5" s="26"/>
      <c r="E5" s="25"/>
      <c r="F5" s="27"/>
      <c r="G5" s="16"/>
      <c r="H5">
        <f t="shared" si="0"/>
        <v>0</v>
      </c>
    </row>
    <row r="6" spans="3:11">
      <c r="C6" s="25"/>
      <c r="D6" s="26"/>
      <c r="E6" s="25"/>
      <c r="F6" s="27"/>
      <c r="G6" s="16"/>
      <c r="H6">
        <f t="shared" si="0"/>
        <v>0</v>
      </c>
    </row>
    <row r="7" spans="3:11">
      <c r="C7" s="25"/>
      <c r="D7" s="26"/>
      <c r="E7" s="25"/>
      <c r="F7" s="27"/>
      <c r="G7" s="16"/>
      <c r="H7">
        <f t="shared" si="0"/>
        <v>0</v>
      </c>
    </row>
    <row r="8" spans="3:11">
      <c r="C8" s="25"/>
      <c r="D8" s="26"/>
      <c r="E8" s="25"/>
      <c r="F8" s="27"/>
      <c r="G8" s="16"/>
      <c r="H8">
        <f t="shared" si="0"/>
        <v>0</v>
      </c>
    </row>
    <row r="9" spans="3:11">
      <c r="C9" s="25"/>
      <c r="D9" s="26"/>
      <c r="E9" s="25"/>
      <c r="F9" s="27"/>
      <c r="G9" s="16"/>
      <c r="H9">
        <f t="shared" si="0"/>
        <v>0</v>
      </c>
    </row>
    <row r="10" spans="3:11">
      <c r="C10" s="25"/>
      <c r="D10" s="26"/>
      <c r="E10" s="25"/>
      <c r="F10" s="27"/>
      <c r="G10" s="16"/>
      <c r="H10">
        <f t="shared" si="0"/>
        <v>0</v>
      </c>
    </row>
    <row r="11" spans="3:11">
      <c r="C11" s="25"/>
      <c r="D11" s="26"/>
      <c r="E11" s="25"/>
      <c r="F11" s="27"/>
      <c r="G11" s="16"/>
      <c r="H11">
        <f>G11/$E$13</f>
        <v>0</v>
      </c>
    </row>
    <row r="13" spans="3:11">
      <c r="D13" s="9" t="s">
        <v>61</v>
      </c>
      <c r="E13" s="9">
        <v>1.1624000000000001</v>
      </c>
    </row>
  </sheetData>
  <mergeCells count="1">
    <mergeCell ref="J2:K4"/>
  </mergeCells>
  <hyperlinks>
    <hyperlink ref="J2:K4" location="Fornecedores_Contentores!A1" display="INICIO" xr:uid="{9FED54F4-84E5-4BC1-A4CC-7F0496BECD9A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0603-4F44-4E67-AF05-5A4C745E4D83}">
  <sheetPr codeName="Folha46">
    <tabColor rgb="FFFFC000"/>
  </sheetPr>
  <dimension ref="C1:K13"/>
  <sheetViews>
    <sheetView workbookViewId="0">
      <selection activeCell="J2" sqref="J2:K4"/>
    </sheetView>
  </sheetViews>
  <sheetFormatPr defaultRowHeight="15"/>
  <cols>
    <col min="3" max="3" width="23.42578125" bestFit="1" customWidth="1"/>
    <col min="4" max="4" width="14.140625" bestFit="1" customWidth="1"/>
    <col min="5" max="5" width="46.28515625" bestFit="1" customWidth="1"/>
    <col min="6" max="6" width="8.140625" bestFit="1" customWidth="1"/>
  </cols>
  <sheetData>
    <row r="1" spans="3:11" ht="15.75" thickBot="1"/>
    <row r="2" spans="3:11">
      <c r="C2" s="10" t="s">
        <v>15</v>
      </c>
      <c r="D2" s="10"/>
      <c r="E2" s="10" t="s">
        <v>16</v>
      </c>
      <c r="F2" s="10" t="s">
        <v>17</v>
      </c>
      <c r="J2" s="164" t="s">
        <v>26</v>
      </c>
      <c r="K2" s="165"/>
    </row>
    <row r="3" spans="3:11">
      <c r="C3" s="21" t="s">
        <v>119</v>
      </c>
      <c r="D3" s="15" t="s">
        <v>143</v>
      </c>
      <c r="E3" s="9" t="s">
        <v>104</v>
      </c>
      <c r="F3" s="17">
        <v>80</v>
      </c>
      <c r="G3" s="16">
        <v>124.2</v>
      </c>
      <c r="H3">
        <f>G3/$E$13</f>
        <v>106.05413713602596</v>
      </c>
      <c r="J3" s="166"/>
      <c r="K3" s="167"/>
    </row>
    <row r="4" spans="3:11" ht="15.75" thickBot="1">
      <c r="C4" s="21" t="s">
        <v>120</v>
      </c>
      <c r="D4" s="15" t="s">
        <v>144</v>
      </c>
      <c r="E4" s="9" t="s">
        <v>105</v>
      </c>
      <c r="F4" s="17">
        <v>80</v>
      </c>
      <c r="G4" s="16">
        <v>124.2</v>
      </c>
      <c r="H4">
        <f t="shared" ref="H4:H10" si="0">G4/$E$13</f>
        <v>106.05413713602596</v>
      </c>
      <c r="J4" s="168"/>
      <c r="K4" s="169"/>
    </row>
    <row r="5" spans="3:11">
      <c r="C5" s="21" t="s">
        <v>121</v>
      </c>
      <c r="D5" s="20" t="s">
        <v>142</v>
      </c>
      <c r="E5" s="19" t="s">
        <v>106</v>
      </c>
      <c r="F5" s="18">
        <v>20</v>
      </c>
      <c r="G5" s="16">
        <v>124.2</v>
      </c>
      <c r="H5">
        <f t="shared" si="0"/>
        <v>106.05413713602596</v>
      </c>
    </row>
    <row r="6" spans="3:11">
      <c r="C6" s="21" t="s">
        <v>18</v>
      </c>
      <c r="D6" s="20" t="s">
        <v>46</v>
      </c>
      <c r="E6" s="19" t="s">
        <v>19</v>
      </c>
      <c r="F6" s="18">
        <v>156</v>
      </c>
      <c r="G6" s="16">
        <v>45.3</v>
      </c>
      <c r="H6">
        <f t="shared" si="0"/>
        <v>38.681581419178549</v>
      </c>
    </row>
    <row r="7" spans="3:11">
      <c r="C7" s="19"/>
      <c r="D7" s="20"/>
      <c r="E7" s="19"/>
      <c r="F7" s="18"/>
      <c r="G7" s="16"/>
      <c r="H7">
        <f t="shared" si="0"/>
        <v>0</v>
      </c>
    </row>
    <row r="8" spans="3:11">
      <c r="C8" s="19"/>
      <c r="D8" s="20"/>
      <c r="E8" s="19"/>
      <c r="F8" s="18"/>
      <c r="G8" s="16"/>
      <c r="H8">
        <f t="shared" si="0"/>
        <v>0</v>
      </c>
    </row>
    <row r="9" spans="3:11">
      <c r="C9" s="9"/>
      <c r="D9" s="15"/>
      <c r="E9" s="9"/>
      <c r="F9" s="17"/>
      <c r="G9" s="16"/>
      <c r="H9">
        <f t="shared" si="0"/>
        <v>0</v>
      </c>
    </row>
    <row r="10" spans="3:11">
      <c r="C10" s="19"/>
      <c r="D10" s="20"/>
      <c r="E10" s="19"/>
      <c r="F10" s="18"/>
      <c r="G10" s="16"/>
      <c r="H10">
        <f t="shared" si="0"/>
        <v>0</v>
      </c>
    </row>
    <row r="11" spans="3:11">
      <c r="C11" s="9"/>
      <c r="D11" s="15"/>
      <c r="E11" s="9"/>
      <c r="F11" s="17"/>
      <c r="G11" s="16"/>
      <c r="H11">
        <f>G11/$E$13</f>
        <v>0</v>
      </c>
    </row>
    <row r="13" spans="3:11">
      <c r="D13" s="9" t="s">
        <v>61</v>
      </c>
      <c r="E13" s="9">
        <v>1.1711</v>
      </c>
    </row>
  </sheetData>
  <mergeCells count="1">
    <mergeCell ref="J2:K4"/>
  </mergeCells>
  <hyperlinks>
    <hyperlink ref="J2:K4" location="Fornecedores_Contentores!A1" display="INICIO" xr:uid="{5A228665-C291-4EF6-8B5E-34819919CF38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BBCE7-505F-493C-A1C7-3422380F30EF}">
  <sheetPr codeName="Folha47">
    <tabColor rgb="FFFFC000"/>
  </sheetPr>
  <dimension ref="C1:K13"/>
  <sheetViews>
    <sheetView workbookViewId="0">
      <selection activeCell="J2" sqref="J2:K4"/>
    </sheetView>
  </sheetViews>
  <sheetFormatPr defaultRowHeight="15"/>
  <cols>
    <col min="3" max="3" width="23.42578125" bestFit="1" customWidth="1"/>
    <col min="4" max="4" width="16.5703125" customWidth="1"/>
    <col min="5" max="5" width="40.7109375" bestFit="1" customWidth="1"/>
    <col min="6" max="6" width="8.140625" bestFit="1" customWidth="1"/>
  </cols>
  <sheetData>
    <row r="1" spans="3:11" ht="15.75" thickBot="1"/>
    <row r="2" spans="3:11">
      <c r="C2" s="10" t="s">
        <v>15</v>
      </c>
      <c r="D2" s="10"/>
      <c r="E2" s="10" t="s">
        <v>16</v>
      </c>
      <c r="F2" s="10" t="s">
        <v>17</v>
      </c>
      <c r="J2" s="164" t="s">
        <v>26</v>
      </c>
      <c r="K2" s="165"/>
    </row>
    <row r="3" spans="3:11">
      <c r="C3" s="9" t="s">
        <v>131</v>
      </c>
      <c r="D3" s="15" t="s">
        <v>139</v>
      </c>
      <c r="E3" s="9" t="s">
        <v>132</v>
      </c>
      <c r="F3" s="17">
        <v>70</v>
      </c>
      <c r="G3" s="16">
        <v>69.010000000000005</v>
      </c>
      <c r="H3" t="e">
        <f>G3/$E$13</f>
        <v>#DIV/0!</v>
      </c>
      <c r="J3" s="166"/>
      <c r="K3" s="167"/>
    </row>
    <row r="4" spans="3:11" ht="15.75" thickBot="1">
      <c r="C4" s="9" t="s">
        <v>18</v>
      </c>
      <c r="D4" s="15" t="s">
        <v>46</v>
      </c>
      <c r="E4" s="9" t="s">
        <v>146</v>
      </c>
      <c r="F4" s="17">
        <v>190</v>
      </c>
      <c r="G4" s="16">
        <v>45.3</v>
      </c>
      <c r="H4" t="e">
        <f t="shared" ref="H4:H10" si="0">G4/$E$13</f>
        <v>#DIV/0!</v>
      </c>
      <c r="J4" s="168"/>
      <c r="K4" s="169"/>
    </row>
    <row r="5" spans="3:11">
      <c r="C5" s="19" t="s">
        <v>25</v>
      </c>
      <c r="D5" s="20" t="s">
        <v>48</v>
      </c>
      <c r="E5" s="19" t="s">
        <v>36</v>
      </c>
      <c r="F5" s="18">
        <v>50</v>
      </c>
      <c r="G5" s="16">
        <v>58.9</v>
      </c>
      <c r="H5" t="e">
        <f t="shared" si="0"/>
        <v>#DIV/0!</v>
      </c>
    </row>
    <row r="6" spans="3:11">
      <c r="C6" s="19" t="s">
        <v>155</v>
      </c>
      <c r="D6" s="20" t="s">
        <v>113</v>
      </c>
      <c r="E6" s="19" t="s">
        <v>156</v>
      </c>
      <c r="F6" s="18">
        <v>30</v>
      </c>
      <c r="G6" s="16">
        <v>119.2</v>
      </c>
      <c r="H6" t="e">
        <f t="shared" si="0"/>
        <v>#DIV/0!</v>
      </c>
    </row>
    <row r="7" spans="3:11">
      <c r="C7" s="19" t="s">
        <v>37</v>
      </c>
      <c r="D7" s="20" t="s">
        <v>47</v>
      </c>
      <c r="E7" s="19" t="s">
        <v>157</v>
      </c>
      <c r="F7" s="18">
        <v>30</v>
      </c>
      <c r="G7" s="16">
        <v>58.9</v>
      </c>
      <c r="H7" t="e">
        <f t="shared" si="0"/>
        <v>#DIV/0!</v>
      </c>
    </row>
    <row r="8" spans="3:11">
      <c r="C8" s="19"/>
      <c r="D8" s="20"/>
      <c r="E8" s="19"/>
      <c r="F8" s="18"/>
      <c r="G8" s="16"/>
      <c r="H8" t="e">
        <f t="shared" si="0"/>
        <v>#DIV/0!</v>
      </c>
    </row>
    <row r="9" spans="3:11">
      <c r="C9" s="9"/>
      <c r="D9" s="15"/>
      <c r="E9" s="9"/>
      <c r="F9" s="17"/>
      <c r="G9" s="16"/>
      <c r="H9" t="e">
        <f t="shared" si="0"/>
        <v>#DIV/0!</v>
      </c>
    </row>
    <row r="10" spans="3:11">
      <c r="C10" s="19"/>
      <c r="D10" s="20"/>
      <c r="E10" s="19"/>
      <c r="F10" s="18"/>
      <c r="G10" s="16"/>
      <c r="H10" t="e">
        <f t="shared" si="0"/>
        <v>#DIV/0!</v>
      </c>
    </row>
    <row r="11" spans="3:11">
      <c r="C11" s="9"/>
      <c r="D11" s="15"/>
      <c r="E11" s="9"/>
      <c r="F11" s="17"/>
      <c r="G11" s="16"/>
      <c r="H11" t="e">
        <f>G11/$E$13</f>
        <v>#DIV/0!</v>
      </c>
    </row>
    <row r="13" spans="3:11">
      <c r="D13" s="9" t="s">
        <v>61</v>
      </c>
      <c r="E13" s="9"/>
    </row>
  </sheetData>
  <mergeCells count="1">
    <mergeCell ref="J2:K4"/>
  </mergeCells>
  <hyperlinks>
    <hyperlink ref="J2:K4" location="Fornecedores_Contentores!A1" display="INICIO" xr:uid="{2ADF5C36-5A36-4C6F-88ED-47C3F03F0344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70BF-707A-4E71-97D0-0543F05387B5}">
  <sheetPr codeName="Folha48">
    <tabColor rgb="FFFFC000"/>
  </sheetPr>
  <dimension ref="C1:K13"/>
  <sheetViews>
    <sheetView workbookViewId="0">
      <selection activeCell="J2" sqref="J2:K4"/>
    </sheetView>
  </sheetViews>
  <sheetFormatPr defaultRowHeight="15"/>
  <cols>
    <col min="3" max="3" width="20.140625" bestFit="1" customWidth="1"/>
    <col min="4" max="4" width="14.140625" bestFit="1" customWidth="1"/>
    <col min="5" max="5" width="40.7109375" bestFit="1" customWidth="1"/>
    <col min="6" max="6" width="8.140625" bestFit="1" customWidth="1"/>
    <col min="7" max="7" width="5.5703125" bestFit="1" customWidth="1"/>
    <col min="8" max="8" width="7.7109375" bestFit="1" customWidth="1"/>
  </cols>
  <sheetData>
    <row r="1" spans="3:11" ht="15.75" thickBot="1"/>
    <row r="2" spans="3:11">
      <c r="C2" s="10" t="s">
        <v>15</v>
      </c>
      <c r="D2" s="10"/>
      <c r="E2" s="10" t="s">
        <v>16</v>
      </c>
      <c r="F2" s="10" t="s">
        <v>17</v>
      </c>
      <c r="J2" s="164" t="s">
        <v>26</v>
      </c>
      <c r="K2" s="165"/>
    </row>
    <row r="3" spans="3:11">
      <c r="C3" s="9" t="s">
        <v>129</v>
      </c>
      <c r="D3" s="15" t="s">
        <v>130</v>
      </c>
      <c r="E3" s="9" t="s">
        <v>94</v>
      </c>
      <c r="F3" s="17">
        <v>110</v>
      </c>
      <c r="G3" s="16">
        <v>69.010000000000005</v>
      </c>
      <c r="H3">
        <f>G3/$E$13</f>
        <v>58.652048274689783</v>
      </c>
      <c r="J3" s="166"/>
      <c r="K3" s="167"/>
    </row>
    <row r="4" spans="3:11" ht="15.75" thickBot="1">
      <c r="C4" s="9" t="s">
        <v>64</v>
      </c>
      <c r="D4" s="15" t="s">
        <v>122</v>
      </c>
      <c r="E4" s="9" t="s">
        <v>65</v>
      </c>
      <c r="F4" s="17">
        <v>50</v>
      </c>
      <c r="G4" s="16">
        <v>69.010000000000005</v>
      </c>
      <c r="H4">
        <f t="shared" ref="H4:H10" si="0">G4/$E$13</f>
        <v>58.652048274689783</v>
      </c>
      <c r="J4" s="168"/>
      <c r="K4" s="169"/>
    </row>
    <row r="5" spans="3:11">
      <c r="C5" s="19" t="s">
        <v>32</v>
      </c>
      <c r="D5" s="20">
        <v>5600413205792</v>
      </c>
      <c r="E5" s="19" t="s">
        <v>56</v>
      </c>
      <c r="F5" s="18">
        <v>15</v>
      </c>
      <c r="G5" s="16">
        <v>67.25</v>
      </c>
      <c r="H5">
        <f t="shared" si="0"/>
        <v>57.15621281659017</v>
      </c>
    </row>
    <row r="6" spans="3:11">
      <c r="C6" s="19" t="s">
        <v>35</v>
      </c>
      <c r="D6" s="20">
        <v>5600413205990</v>
      </c>
      <c r="E6" s="19" t="s">
        <v>58</v>
      </c>
      <c r="F6" s="18">
        <v>20</v>
      </c>
      <c r="G6" s="16">
        <v>67.25</v>
      </c>
      <c r="H6">
        <f t="shared" si="0"/>
        <v>57.15621281659017</v>
      </c>
    </row>
    <row r="7" spans="3:11">
      <c r="C7" s="19" t="s">
        <v>33</v>
      </c>
      <c r="D7" s="20" t="s">
        <v>57</v>
      </c>
      <c r="E7" s="19" t="s">
        <v>34</v>
      </c>
      <c r="F7" s="18">
        <v>50</v>
      </c>
      <c r="G7" s="16">
        <v>67.25</v>
      </c>
      <c r="H7">
        <f t="shared" si="0"/>
        <v>57.15621281659017</v>
      </c>
    </row>
    <row r="8" spans="3:11">
      <c r="C8" s="19" t="s">
        <v>30</v>
      </c>
      <c r="D8" s="20" t="s">
        <v>59</v>
      </c>
      <c r="E8" s="19" t="s">
        <v>31</v>
      </c>
      <c r="F8" s="18">
        <v>50</v>
      </c>
      <c r="G8" s="16">
        <v>67.25</v>
      </c>
      <c r="H8">
        <f t="shared" si="0"/>
        <v>57.15621281659017</v>
      </c>
    </row>
    <row r="9" spans="3:11">
      <c r="C9" s="9" t="s">
        <v>25</v>
      </c>
      <c r="D9" s="15" t="s">
        <v>48</v>
      </c>
      <c r="E9" s="9" t="s">
        <v>36</v>
      </c>
      <c r="F9" s="17">
        <v>45</v>
      </c>
      <c r="G9" s="16">
        <v>58.9</v>
      </c>
      <c r="H9">
        <f t="shared" si="0"/>
        <v>50.059493455719867</v>
      </c>
    </row>
    <row r="10" spans="3:11">
      <c r="C10" s="19" t="s">
        <v>23</v>
      </c>
      <c r="D10" s="20" t="s">
        <v>49</v>
      </c>
      <c r="E10" s="19" t="s">
        <v>24</v>
      </c>
      <c r="F10" s="18">
        <v>45</v>
      </c>
      <c r="G10" s="16">
        <v>58.9</v>
      </c>
      <c r="H10">
        <f t="shared" si="0"/>
        <v>50.059493455719867</v>
      </c>
    </row>
    <row r="11" spans="3:11">
      <c r="C11" s="9"/>
      <c r="D11" s="15"/>
      <c r="E11" s="9"/>
      <c r="F11" s="17"/>
      <c r="G11" s="16"/>
      <c r="H11">
        <f>G11/$E$13</f>
        <v>0</v>
      </c>
    </row>
    <row r="13" spans="3:11">
      <c r="D13" s="9" t="s">
        <v>61</v>
      </c>
      <c r="E13" s="9">
        <v>1.1766000000000001</v>
      </c>
    </row>
  </sheetData>
  <mergeCells count="1">
    <mergeCell ref="J2:K4"/>
  </mergeCells>
  <hyperlinks>
    <hyperlink ref="J2:K4" location="Fornecedores_Contentores!A1" display="INICIO" xr:uid="{FB3C59F5-60F4-4D1C-A8EE-2F42B28D6C1A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F10C-CBA1-433E-BCD5-3720D1386C82}">
  <sheetPr codeName="Folha49">
    <tabColor rgb="FFFFC000"/>
  </sheetPr>
  <dimension ref="C1:K13"/>
  <sheetViews>
    <sheetView workbookViewId="0">
      <selection activeCell="J2" sqref="J2:K4"/>
    </sheetView>
  </sheetViews>
  <sheetFormatPr defaultRowHeight="15"/>
  <cols>
    <col min="3" max="3" width="20.140625" bestFit="1" customWidth="1"/>
    <col min="4" max="4" width="14.140625" bestFit="1" customWidth="1"/>
    <col min="5" max="5" width="40.7109375" bestFit="1" customWidth="1"/>
    <col min="6" max="6" width="8.140625" bestFit="1" customWidth="1"/>
  </cols>
  <sheetData>
    <row r="1" spans="3:11" ht="15.75" thickBot="1"/>
    <row r="2" spans="3:11">
      <c r="C2" s="10" t="s">
        <v>15</v>
      </c>
      <c r="D2" s="10"/>
      <c r="E2" s="10" t="s">
        <v>16</v>
      </c>
      <c r="F2" s="10" t="s">
        <v>17</v>
      </c>
      <c r="J2" s="164" t="s">
        <v>26</v>
      </c>
      <c r="K2" s="165"/>
    </row>
    <row r="3" spans="3:11">
      <c r="C3" s="19" t="s">
        <v>43</v>
      </c>
      <c r="D3" s="20" t="s">
        <v>83</v>
      </c>
      <c r="E3" s="19" t="s">
        <v>84</v>
      </c>
      <c r="F3" s="18">
        <v>110</v>
      </c>
      <c r="G3" s="16">
        <v>65.5</v>
      </c>
      <c r="H3">
        <f>G3/$E$13</f>
        <v>55.668876423593403</v>
      </c>
      <c r="J3" s="166"/>
      <c r="K3" s="167"/>
    </row>
    <row r="4" spans="3:11" ht="15.75" thickBot="1">
      <c r="C4" s="19" t="s">
        <v>44</v>
      </c>
      <c r="D4" s="20" t="s">
        <v>73</v>
      </c>
      <c r="E4" s="19" t="s">
        <v>74</v>
      </c>
      <c r="F4" s="18">
        <v>110</v>
      </c>
      <c r="G4" s="16">
        <v>65.5</v>
      </c>
      <c r="H4">
        <f t="shared" ref="H4:H10" si="0">G4/$E$13</f>
        <v>55.668876423593403</v>
      </c>
      <c r="J4" s="168"/>
      <c r="K4" s="169"/>
    </row>
    <row r="5" spans="3:11">
      <c r="C5" s="20" t="s">
        <v>126</v>
      </c>
      <c r="D5" s="20" t="s">
        <v>140</v>
      </c>
      <c r="E5" s="19" t="s">
        <v>141</v>
      </c>
      <c r="F5" s="18">
        <v>220</v>
      </c>
      <c r="G5" s="16">
        <v>71</v>
      </c>
      <c r="H5">
        <f t="shared" si="0"/>
        <v>60.343362230154675</v>
      </c>
    </row>
    <row r="6" spans="3:11">
      <c r="C6" s="19"/>
      <c r="D6" s="20"/>
      <c r="E6" s="19"/>
      <c r="F6" s="18"/>
      <c r="G6" s="16"/>
      <c r="H6">
        <f t="shared" si="0"/>
        <v>0</v>
      </c>
    </row>
    <row r="7" spans="3:11">
      <c r="C7" s="19"/>
      <c r="D7" s="20"/>
      <c r="E7" s="19"/>
      <c r="F7" s="18"/>
      <c r="G7" s="16"/>
      <c r="H7">
        <f t="shared" si="0"/>
        <v>0</v>
      </c>
    </row>
    <row r="8" spans="3:11">
      <c r="C8" s="19"/>
      <c r="D8" s="20"/>
      <c r="E8" s="19"/>
      <c r="F8" s="18"/>
      <c r="G8" s="16"/>
      <c r="H8">
        <f t="shared" si="0"/>
        <v>0</v>
      </c>
    </row>
    <row r="9" spans="3:11">
      <c r="C9" s="9"/>
      <c r="D9" s="15"/>
      <c r="E9" s="9"/>
      <c r="F9" s="17"/>
      <c r="G9" s="16"/>
      <c r="H9">
        <f t="shared" si="0"/>
        <v>0</v>
      </c>
    </row>
    <row r="10" spans="3:11">
      <c r="C10" s="19"/>
      <c r="D10" s="20"/>
      <c r="E10" s="19"/>
      <c r="F10" s="18"/>
      <c r="G10" s="16"/>
      <c r="H10">
        <f t="shared" si="0"/>
        <v>0</v>
      </c>
    </row>
    <row r="11" spans="3:11">
      <c r="C11" s="9"/>
      <c r="D11" s="15"/>
      <c r="E11" s="9"/>
      <c r="F11" s="17"/>
      <c r="G11" s="16"/>
      <c r="H11">
        <f>G11/$E$13</f>
        <v>0</v>
      </c>
    </row>
    <row r="13" spans="3:11">
      <c r="D13" s="9" t="s">
        <v>61</v>
      </c>
      <c r="E13" s="9">
        <v>1.1766000000000001</v>
      </c>
    </row>
  </sheetData>
  <mergeCells count="1">
    <mergeCell ref="J2:K4"/>
  </mergeCells>
  <hyperlinks>
    <hyperlink ref="J2:K4" location="Fornecedores_Contentores!A1" display="INICIO" xr:uid="{8880B495-F146-4860-9E07-D735B5EEBC7A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C2BDD-F66A-4995-A02F-5F2ECF8A8643}">
  <sheetPr codeName="Folha50">
    <tabColor rgb="FFFFC000"/>
  </sheetPr>
  <dimension ref="C1:K10"/>
  <sheetViews>
    <sheetView workbookViewId="0">
      <selection activeCell="J2" sqref="J2:K4"/>
    </sheetView>
  </sheetViews>
  <sheetFormatPr defaultRowHeight="15"/>
  <cols>
    <col min="3" max="3" width="25.5703125" bestFit="1" customWidth="1"/>
    <col min="4" max="4" width="14.140625" bestFit="1" customWidth="1"/>
    <col min="5" max="5" width="37.7109375" bestFit="1" customWidth="1"/>
    <col min="6" max="6" width="8.140625" bestFit="1" customWidth="1"/>
  </cols>
  <sheetData>
    <row r="1" spans="3:11" ht="15.75" thickBot="1"/>
    <row r="2" spans="3:11">
      <c r="C2" s="10" t="s">
        <v>15</v>
      </c>
      <c r="D2" s="10"/>
      <c r="E2" s="10" t="s">
        <v>16</v>
      </c>
      <c r="F2" s="10" t="s">
        <v>17</v>
      </c>
      <c r="J2" s="164" t="s">
        <v>26</v>
      </c>
      <c r="K2" s="165"/>
    </row>
    <row r="3" spans="3:11">
      <c r="C3" s="9" t="s">
        <v>62</v>
      </c>
      <c r="D3" s="15" t="s">
        <v>123</v>
      </c>
      <c r="E3" s="9" t="s">
        <v>63</v>
      </c>
      <c r="F3" s="17">
        <v>50</v>
      </c>
      <c r="G3" s="16">
        <v>69.010000000000005</v>
      </c>
      <c r="H3">
        <f t="shared" ref="H3:H8" si="0">G3/$E$10</f>
        <v>58.927504056015714</v>
      </c>
      <c r="J3" s="166"/>
      <c r="K3" s="167"/>
    </row>
    <row r="4" spans="3:11" ht="15.75" thickBot="1">
      <c r="C4" s="9" t="s">
        <v>21</v>
      </c>
      <c r="D4" s="15" t="s">
        <v>50</v>
      </c>
      <c r="E4" s="9" t="s">
        <v>22</v>
      </c>
      <c r="F4" s="17">
        <v>80</v>
      </c>
      <c r="G4" s="16">
        <v>71.64</v>
      </c>
      <c r="H4">
        <f t="shared" si="0"/>
        <v>61.173255913243956</v>
      </c>
      <c r="J4" s="168"/>
      <c r="K4" s="169"/>
    </row>
    <row r="5" spans="3:11">
      <c r="C5" s="9" t="s">
        <v>133</v>
      </c>
      <c r="D5" s="15" t="s">
        <v>135</v>
      </c>
      <c r="E5" s="9" t="s">
        <v>136</v>
      </c>
      <c r="F5" s="17">
        <v>50</v>
      </c>
      <c r="G5" s="16">
        <v>88</v>
      </c>
      <c r="H5">
        <f t="shared" si="0"/>
        <v>75.143027922466061</v>
      </c>
    </row>
    <row r="6" spans="3:11">
      <c r="C6" s="9" t="s">
        <v>107</v>
      </c>
      <c r="D6" s="15" t="s">
        <v>108</v>
      </c>
      <c r="E6" s="9" t="s">
        <v>109</v>
      </c>
      <c r="F6" s="17">
        <v>200</v>
      </c>
      <c r="G6" s="16">
        <v>88</v>
      </c>
      <c r="H6">
        <f t="shared" si="0"/>
        <v>75.143027922466061</v>
      </c>
    </row>
    <row r="7" spans="3:11">
      <c r="C7" s="9"/>
      <c r="D7" s="15"/>
      <c r="E7" s="9"/>
      <c r="F7" s="17"/>
      <c r="G7" s="16"/>
      <c r="H7">
        <f t="shared" si="0"/>
        <v>0</v>
      </c>
    </row>
    <row r="8" spans="3:11">
      <c r="C8" s="9"/>
      <c r="D8" s="15"/>
      <c r="E8" s="9"/>
      <c r="F8" s="17"/>
      <c r="G8" s="16"/>
      <c r="H8">
        <f t="shared" si="0"/>
        <v>0</v>
      </c>
    </row>
    <row r="10" spans="3:11">
      <c r="D10" s="9" t="s">
        <v>61</v>
      </c>
      <c r="E10" s="9">
        <v>1.1711</v>
      </c>
    </row>
  </sheetData>
  <mergeCells count="1">
    <mergeCell ref="J2:K4"/>
  </mergeCells>
  <hyperlinks>
    <hyperlink ref="J2:K4" location="Fornecedores_Contentores!A1" display="INICIO" xr:uid="{918D8223-79DD-46F4-B54C-00F42D41CF04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BE93-5CFE-443F-AC42-7CAFC7C2F10F}">
  <sheetPr codeName="Folha51">
    <tabColor rgb="FFFFC000"/>
  </sheetPr>
  <dimension ref="C1:K12"/>
  <sheetViews>
    <sheetView workbookViewId="0">
      <selection activeCell="J2" sqref="J2:K4"/>
    </sheetView>
  </sheetViews>
  <sheetFormatPr defaultRowHeight="15"/>
  <cols>
    <col min="3" max="3" width="18.140625" bestFit="1" customWidth="1"/>
    <col min="4" max="4" width="14.140625" bestFit="1" customWidth="1"/>
    <col min="5" max="5" width="48.85546875" bestFit="1" customWidth="1"/>
    <col min="6" max="6" width="8.140625" bestFit="1" customWidth="1"/>
  </cols>
  <sheetData>
    <row r="1" spans="3:11" ht="15.75" thickBot="1"/>
    <row r="2" spans="3:11">
      <c r="C2" s="10" t="s">
        <v>15</v>
      </c>
      <c r="D2" s="10"/>
      <c r="E2" s="10" t="s">
        <v>16</v>
      </c>
      <c r="F2" s="10" t="s">
        <v>17</v>
      </c>
      <c r="J2" s="164" t="s">
        <v>26</v>
      </c>
      <c r="K2" s="165"/>
    </row>
    <row r="3" spans="3:11">
      <c r="C3" s="21" t="s">
        <v>43</v>
      </c>
      <c r="D3" s="21" t="s">
        <v>83</v>
      </c>
      <c r="E3" s="21" t="s">
        <v>84</v>
      </c>
      <c r="F3" s="18">
        <v>47</v>
      </c>
      <c r="G3" s="16">
        <v>65.5</v>
      </c>
      <c r="H3">
        <f>G3/$E$12</f>
        <v>55.668876423593403</v>
      </c>
      <c r="J3" s="166"/>
      <c r="K3" s="167"/>
    </row>
    <row r="4" spans="3:11" ht="15.75" thickBot="1">
      <c r="C4" s="21" t="s">
        <v>44</v>
      </c>
      <c r="D4" s="21" t="s">
        <v>73</v>
      </c>
      <c r="E4" s="21" t="s">
        <v>74</v>
      </c>
      <c r="F4" s="18">
        <v>400</v>
      </c>
      <c r="G4" s="16">
        <v>65.5</v>
      </c>
      <c r="H4">
        <f>G4/$E$12</f>
        <v>55.668876423593403</v>
      </c>
      <c r="J4" s="168"/>
      <c r="K4" s="169"/>
    </row>
    <row r="5" spans="3:11">
      <c r="C5" s="21"/>
      <c r="D5" s="21"/>
      <c r="E5" s="21"/>
      <c r="F5" s="18"/>
      <c r="G5" s="16"/>
    </row>
    <row r="6" spans="3:11">
      <c r="C6" s="21"/>
      <c r="D6" s="21"/>
      <c r="E6" s="21"/>
      <c r="F6" s="18"/>
      <c r="G6" s="16"/>
    </row>
    <row r="7" spans="3:11">
      <c r="C7" s="21"/>
      <c r="D7" s="21"/>
      <c r="E7" s="21"/>
      <c r="F7" s="18"/>
      <c r="G7" s="16"/>
    </row>
    <row r="8" spans="3:11">
      <c r="C8" s="21"/>
      <c r="D8" s="21"/>
      <c r="E8" s="21"/>
      <c r="F8" s="18"/>
      <c r="G8" s="16"/>
    </row>
    <row r="9" spans="3:11">
      <c r="C9" s="21"/>
      <c r="D9" s="22"/>
      <c r="E9" s="21"/>
      <c r="F9" s="18"/>
      <c r="G9" s="16"/>
    </row>
    <row r="10" spans="3:11">
      <c r="C10" s="21"/>
      <c r="D10" s="22"/>
      <c r="E10" s="21"/>
      <c r="F10" s="18"/>
      <c r="G10" s="16"/>
    </row>
    <row r="12" spans="3:11">
      <c r="D12" s="9" t="s">
        <v>61</v>
      </c>
      <c r="E12" s="9">
        <v>1.1766000000000001</v>
      </c>
    </row>
  </sheetData>
  <mergeCells count="1">
    <mergeCell ref="J2:K4"/>
  </mergeCells>
  <hyperlinks>
    <hyperlink ref="J2:K4" location="Fornecedores_Contentores!A1" display="INICIO" xr:uid="{46139076-F833-4F6B-A6EE-31FF29F76DCA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BBE7-B1B1-4F9A-B6A7-31257DAE2442}">
  <sheetPr codeName="Folha52">
    <tabColor rgb="FFFFC000"/>
  </sheetPr>
  <dimension ref="C1:K13"/>
  <sheetViews>
    <sheetView workbookViewId="0">
      <selection activeCell="J2" sqref="J2:K4"/>
    </sheetView>
  </sheetViews>
  <sheetFormatPr defaultRowHeight="15"/>
  <cols>
    <col min="3" max="3" width="18.140625" bestFit="1" customWidth="1"/>
    <col min="4" max="4" width="14.140625" bestFit="1" customWidth="1"/>
    <col min="5" max="5" width="48.85546875" bestFit="1" customWidth="1"/>
    <col min="6" max="6" width="8.140625" bestFit="1" customWidth="1"/>
  </cols>
  <sheetData>
    <row r="1" spans="3:11" ht="15.75" thickBot="1"/>
    <row r="2" spans="3:11">
      <c r="C2" s="10" t="s">
        <v>15</v>
      </c>
      <c r="D2" s="10"/>
      <c r="E2" s="10" t="s">
        <v>16</v>
      </c>
      <c r="F2" s="10" t="s">
        <v>17</v>
      </c>
      <c r="J2" s="164" t="s">
        <v>26</v>
      </c>
      <c r="K2" s="165"/>
    </row>
    <row r="3" spans="3:11">
      <c r="C3" s="21" t="s">
        <v>42</v>
      </c>
      <c r="D3" s="21" t="s">
        <v>81</v>
      </c>
      <c r="E3" s="21" t="s">
        <v>82</v>
      </c>
      <c r="F3" s="18">
        <v>294</v>
      </c>
      <c r="G3" s="16">
        <v>60.5</v>
      </c>
      <c r="H3">
        <f>G3/$E$13</f>
        <v>51.419343872174053</v>
      </c>
      <c r="J3" s="166"/>
      <c r="K3" s="167"/>
    </row>
    <row r="4" spans="3:11" ht="15.75" thickBot="1">
      <c r="C4" s="21" t="s">
        <v>43</v>
      </c>
      <c r="D4" s="21" t="s">
        <v>83</v>
      </c>
      <c r="E4" s="21" t="s">
        <v>84</v>
      </c>
      <c r="F4" s="18">
        <v>153</v>
      </c>
      <c r="G4" s="16">
        <v>65.5</v>
      </c>
      <c r="H4">
        <f>G4/$E$13</f>
        <v>55.668876423593403</v>
      </c>
      <c r="J4" s="168"/>
      <c r="K4" s="169"/>
    </row>
    <row r="5" spans="3:11">
      <c r="C5" s="21"/>
      <c r="D5" s="21"/>
      <c r="E5" s="21"/>
      <c r="F5" s="18"/>
      <c r="G5" s="16"/>
    </row>
    <row r="6" spans="3:11">
      <c r="C6" s="21"/>
      <c r="D6" s="21"/>
      <c r="E6" s="21"/>
      <c r="F6" s="18"/>
      <c r="G6" s="16"/>
    </row>
    <row r="7" spans="3:11">
      <c r="C7" s="21"/>
      <c r="D7" s="21"/>
      <c r="E7" s="21"/>
      <c r="F7" s="18"/>
      <c r="G7" s="16"/>
    </row>
    <row r="8" spans="3:11">
      <c r="C8" s="21"/>
      <c r="D8" s="21"/>
      <c r="E8" s="21"/>
      <c r="F8" s="18"/>
      <c r="G8" s="16"/>
    </row>
    <row r="9" spans="3:11">
      <c r="C9" s="21"/>
      <c r="D9" s="21"/>
      <c r="E9" s="21"/>
      <c r="F9" s="18"/>
      <c r="G9" s="16"/>
    </row>
    <row r="10" spans="3:11">
      <c r="C10" s="21"/>
      <c r="D10" s="22"/>
      <c r="E10" s="21"/>
      <c r="F10" s="18"/>
      <c r="G10" s="16"/>
    </row>
    <row r="11" spans="3:11">
      <c r="C11" s="21"/>
      <c r="D11" s="22"/>
      <c r="E11" s="21"/>
      <c r="F11" s="18"/>
      <c r="G11" s="16"/>
    </row>
    <row r="13" spans="3:11">
      <c r="D13" s="9" t="s">
        <v>61</v>
      </c>
      <c r="E13" s="9">
        <v>1.1766000000000001</v>
      </c>
    </row>
  </sheetData>
  <mergeCells count="1">
    <mergeCell ref="J2:K4"/>
  </mergeCells>
  <hyperlinks>
    <hyperlink ref="J2:K4" location="Fornecedores_Contentores!A1" display="INICIO" xr:uid="{BB17EF58-3C56-43CF-AD07-3A108D9066A7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F58B-72E1-4C74-8CA9-270B6E315954}">
  <sheetPr codeName="Folha53">
    <tabColor rgb="FFFFC000"/>
  </sheetPr>
  <dimension ref="C1:K11"/>
  <sheetViews>
    <sheetView workbookViewId="0">
      <selection activeCell="J2" sqref="J2:K4"/>
    </sheetView>
  </sheetViews>
  <sheetFormatPr defaultRowHeight="15"/>
  <cols>
    <col min="3" max="3" width="18.140625" bestFit="1" customWidth="1"/>
    <col min="4" max="4" width="14.140625" bestFit="1" customWidth="1"/>
    <col min="5" max="5" width="48.85546875" bestFit="1" customWidth="1"/>
    <col min="6" max="6" width="8.140625" bestFit="1" customWidth="1"/>
  </cols>
  <sheetData>
    <row r="1" spans="3:11" ht="15.75" thickBot="1"/>
    <row r="2" spans="3:11">
      <c r="C2" s="10" t="s">
        <v>15</v>
      </c>
      <c r="D2" s="10"/>
      <c r="E2" s="10" t="s">
        <v>16</v>
      </c>
      <c r="F2" s="10" t="s">
        <v>17</v>
      </c>
      <c r="J2" s="164" t="s">
        <v>26</v>
      </c>
      <c r="K2" s="165"/>
    </row>
    <row r="3" spans="3:11">
      <c r="C3" s="21" t="s">
        <v>42</v>
      </c>
      <c r="D3" s="21" t="s">
        <v>81</v>
      </c>
      <c r="E3" s="21" t="s">
        <v>82</v>
      </c>
      <c r="F3" s="18">
        <v>6</v>
      </c>
      <c r="G3" s="16">
        <v>60.5</v>
      </c>
      <c r="H3">
        <f>G3/$E$11</f>
        <v>51.419343872174053</v>
      </c>
      <c r="J3" s="166"/>
      <c r="K3" s="167"/>
    </row>
    <row r="4" spans="3:11" ht="15.75" thickBot="1">
      <c r="C4" s="21" t="s">
        <v>39</v>
      </c>
      <c r="D4" s="21" t="s">
        <v>68</v>
      </c>
      <c r="E4" s="21" t="s">
        <v>51</v>
      </c>
      <c r="F4" s="18">
        <v>150</v>
      </c>
      <c r="G4" s="16">
        <v>88</v>
      </c>
      <c r="H4">
        <f>G4/$E$11</f>
        <v>74.791772904980448</v>
      </c>
      <c r="J4" s="168"/>
      <c r="K4" s="169"/>
    </row>
    <row r="5" spans="3:11">
      <c r="C5" s="21" t="s">
        <v>41</v>
      </c>
      <c r="D5" s="21" t="s">
        <v>69</v>
      </c>
      <c r="E5" s="21" t="s">
        <v>70</v>
      </c>
      <c r="F5" s="18">
        <v>120</v>
      </c>
      <c r="G5" s="16">
        <v>145</v>
      </c>
      <c r="H5">
        <f>G5/$E$11</f>
        <v>123.23644399116097</v>
      </c>
    </row>
    <row r="6" spans="3:11">
      <c r="C6" s="21" t="s">
        <v>38</v>
      </c>
      <c r="D6" s="21" t="s">
        <v>66</v>
      </c>
      <c r="E6" s="21" t="s">
        <v>67</v>
      </c>
      <c r="F6" s="18">
        <v>60</v>
      </c>
      <c r="G6" s="16">
        <v>34.5</v>
      </c>
      <c r="H6">
        <f>G6/$E$11</f>
        <v>29.321774604793472</v>
      </c>
    </row>
    <row r="7" spans="3:11">
      <c r="C7" s="21" t="s">
        <v>40</v>
      </c>
      <c r="D7" s="21" t="s">
        <v>71</v>
      </c>
      <c r="E7" s="21" t="s">
        <v>72</v>
      </c>
      <c r="F7" s="18">
        <v>33</v>
      </c>
      <c r="G7" s="16">
        <v>58</v>
      </c>
      <c r="H7">
        <f>G7/$E$11</f>
        <v>49.294577596464386</v>
      </c>
    </row>
    <row r="8" spans="3:11">
      <c r="C8" s="21"/>
      <c r="D8" s="22"/>
      <c r="E8" s="21"/>
      <c r="F8" s="18"/>
      <c r="G8" s="16"/>
    </row>
    <row r="9" spans="3:11">
      <c r="C9" s="21"/>
      <c r="D9" s="22"/>
      <c r="E9" s="21"/>
      <c r="F9" s="18"/>
      <c r="G9" s="16"/>
    </row>
    <row r="11" spans="3:11">
      <c r="D11" s="9" t="s">
        <v>61</v>
      </c>
      <c r="E11" s="9">
        <v>1.1766000000000001</v>
      </c>
    </row>
  </sheetData>
  <mergeCells count="1">
    <mergeCell ref="J2:K4"/>
  </mergeCells>
  <hyperlinks>
    <hyperlink ref="J2:K4" location="Fornecedores_Contentores!A1" display="INICIO" xr:uid="{38DA223A-CCC6-4BA4-95A5-0C762E26CE8C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A2D41-80D3-496B-9116-0FC014C9CCC7}">
  <sheetPr codeName="Folha54">
    <tabColor rgb="FFFFC000"/>
  </sheetPr>
  <dimension ref="C1:K12"/>
  <sheetViews>
    <sheetView zoomScale="85" zoomScaleNormal="85" workbookViewId="0">
      <selection activeCell="J2" sqref="J2:K4"/>
    </sheetView>
  </sheetViews>
  <sheetFormatPr defaultRowHeight="15"/>
  <cols>
    <col min="3" max="3" width="35.5703125" bestFit="1" customWidth="1"/>
    <col min="4" max="4" width="14.140625" bestFit="1" customWidth="1"/>
    <col min="5" max="5" width="46.28515625" bestFit="1" customWidth="1"/>
    <col min="6" max="6" width="8.140625" bestFit="1" customWidth="1"/>
  </cols>
  <sheetData>
    <row r="1" spans="3:11" ht="15.75" thickBot="1"/>
    <row r="2" spans="3:11">
      <c r="C2" s="10" t="s">
        <v>15</v>
      </c>
      <c r="D2" s="10"/>
      <c r="E2" s="10" t="s">
        <v>16</v>
      </c>
      <c r="F2" s="10" t="s">
        <v>17</v>
      </c>
      <c r="J2" s="164" t="s">
        <v>26</v>
      </c>
      <c r="K2" s="165"/>
    </row>
    <row r="3" spans="3:11">
      <c r="C3" s="19" t="s">
        <v>134</v>
      </c>
      <c r="D3" s="20" t="s">
        <v>137</v>
      </c>
      <c r="E3" s="19" t="s">
        <v>138</v>
      </c>
      <c r="F3" s="18">
        <v>200</v>
      </c>
      <c r="G3" s="16">
        <v>69.010000000000005</v>
      </c>
      <c r="H3">
        <f>G3/$E$12</f>
        <v>59.368547832071577</v>
      </c>
      <c r="J3" s="166"/>
      <c r="K3" s="167"/>
    </row>
    <row r="4" spans="3:11" ht="15.75" thickBot="1">
      <c r="C4" s="19" t="s">
        <v>114</v>
      </c>
      <c r="D4" s="20">
        <v>5600413205747</v>
      </c>
      <c r="E4" s="19" t="s">
        <v>115</v>
      </c>
      <c r="F4" s="18">
        <v>200</v>
      </c>
      <c r="G4" s="16">
        <v>43.12</v>
      </c>
      <c r="H4">
        <f>G4/$E$12</f>
        <v>37.095664143152092</v>
      </c>
      <c r="J4" s="168"/>
      <c r="K4" s="169"/>
    </row>
    <row r="5" spans="3:11">
      <c r="C5" s="19"/>
      <c r="D5" s="20"/>
      <c r="E5" s="19"/>
      <c r="F5" s="18"/>
      <c r="G5" s="16"/>
      <c r="H5">
        <f>G5/$E$12</f>
        <v>0</v>
      </c>
    </row>
    <row r="6" spans="3:11">
      <c r="C6" s="9"/>
      <c r="D6" s="15"/>
      <c r="E6" s="9"/>
      <c r="F6" s="18"/>
      <c r="G6" s="16"/>
      <c r="H6">
        <f>G6/$E$12</f>
        <v>0</v>
      </c>
    </row>
    <row r="7" spans="3:11">
      <c r="C7" s="9"/>
      <c r="D7" s="15"/>
      <c r="E7" s="9"/>
      <c r="F7" s="18"/>
      <c r="G7" s="16"/>
      <c r="H7" t="e">
        <f>G7/$E$7</f>
        <v>#DIV/0!</v>
      </c>
    </row>
    <row r="8" spans="3:11">
      <c r="C8" s="19"/>
      <c r="D8" s="20"/>
      <c r="E8" s="19"/>
      <c r="F8" s="18"/>
      <c r="G8" s="16"/>
      <c r="H8" t="e">
        <f>G8/$E$7</f>
        <v>#DIV/0!</v>
      </c>
    </row>
    <row r="9" spans="3:11">
      <c r="C9" s="19"/>
      <c r="D9" s="20"/>
      <c r="E9" s="19"/>
      <c r="F9" s="18"/>
      <c r="G9" s="16"/>
      <c r="H9" t="e">
        <f>G9/$E$7</f>
        <v>#DIV/0!</v>
      </c>
    </row>
    <row r="10" spans="3:11">
      <c r="C10" s="9"/>
      <c r="D10" s="15"/>
      <c r="E10" s="9"/>
      <c r="F10" s="18"/>
      <c r="G10" s="16"/>
      <c r="H10" t="e">
        <f>G10/$E$7</f>
        <v>#DIV/0!</v>
      </c>
    </row>
    <row r="12" spans="3:11">
      <c r="D12" s="9" t="s">
        <v>61</v>
      </c>
      <c r="E12" s="9">
        <v>1.1624000000000001</v>
      </c>
    </row>
  </sheetData>
  <mergeCells count="1">
    <mergeCell ref="J2:K4"/>
  </mergeCells>
  <hyperlinks>
    <hyperlink ref="J2:K4" location="Fornecedores_Contentores!A1" display="INICIO" xr:uid="{628601E3-79E0-4B1C-940B-5F34886820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63</vt:i4>
      </vt:variant>
    </vt:vector>
  </HeadingPairs>
  <TitlesOfParts>
    <vt:vector size="63" baseType="lpstr">
      <vt:lpstr>valores</vt:lpstr>
      <vt:lpstr>RESUMO</vt:lpstr>
      <vt:lpstr>Fornecedores_Contentores</vt:lpstr>
      <vt:lpstr>ONEU6060805</vt:lpstr>
      <vt:lpstr>TCNU5901856</vt:lpstr>
      <vt:lpstr>ONEU1030860</vt:lpstr>
      <vt:lpstr>TRHU4608301</vt:lpstr>
      <vt:lpstr>NYKU0846132</vt:lpstr>
      <vt:lpstr>FCIU3873512</vt:lpstr>
      <vt:lpstr>SEGU5176476</vt:lpstr>
      <vt:lpstr>KKFU7935971</vt:lpstr>
      <vt:lpstr>CMAU7447870</vt:lpstr>
      <vt:lpstr>TCNU3632887</vt:lpstr>
      <vt:lpstr>TLLU4428396</vt:lpstr>
      <vt:lpstr>TCNU3717752</vt:lpstr>
      <vt:lpstr>DDDU5046665</vt:lpstr>
      <vt:lpstr>TCLU8910094</vt:lpstr>
      <vt:lpstr>MSMU8426391</vt:lpstr>
      <vt:lpstr>TCLU6374264</vt:lpstr>
      <vt:lpstr>UETU5559061</vt:lpstr>
      <vt:lpstr>CAIU9472020</vt:lpstr>
      <vt:lpstr>CMAU6149465</vt:lpstr>
      <vt:lpstr>TCNU7813630</vt:lpstr>
      <vt:lpstr>MSMU6056997</vt:lpstr>
      <vt:lpstr>MRSU3054645</vt:lpstr>
      <vt:lpstr>CMAU6742059</vt:lpstr>
      <vt:lpstr>SEKU7815204</vt:lpstr>
      <vt:lpstr>SEKU7816495</vt:lpstr>
      <vt:lpstr>SEKU7816767</vt:lpstr>
      <vt:lpstr>SEKU7816788</vt:lpstr>
      <vt:lpstr>ONEU1147585</vt:lpstr>
      <vt:lpstr>NYKU4794090</vt:lpstr>
      <vt:lpstr>SEKU7816480</vt:lpstr>
      <vt:lpstr>SEKU7816577</vt:lpstr>
      <vt:lpstr>SEKU7816514</vt:lpstr>
      <vt:lpstr>SEKU7814189</vt:lpstr>
      <vt:lpstr>SEKU7815225</vt:lpstr>
      <vt:lpstr>SEKU7815288</vt:lpstr>
      <vt:lpstr>SEKU7815267</vt:lpstr>
      <vt:lpstr>CMAU7126778</vt:lpstr>
      <vt:lpstr>MSMU5852428</vt:lpstr>
      <vt:lpstr>FSCU8840228</vt:lpstr>
      <vt:lpstr>TCNU2374129</vt:lpstr>
      <vt:lpstr>TCNU1554912</vt:lpstr>
      <vt:lpstr>CAAU5904294</vt:lpstr>
      <vt:lpstr>MSMU4227658</vt:lpstr>
      <vt:lpstr>MRSU7266658</vt:lpstr>
      <vt:lpstr>MRKU4372041</vt:lpstr>
      <vt:lpstr>TRHU4437683</vt:lpstr>
      <vt:lpstr>TCNU5152906</vt:lpstr>
      <vt:lpstr>HASU4497484</vt:lpstr>
      <vt:lpstr>FANU3359264</vt:lpstr>
      <vt:lpstr>MRKU3567877</vt:lpstr>
      <vt:lpstr>MSKU9770693</vt:lpstr>
      <vt:lpstr>MRSU7112185</vt:lpstr>
      <vt:lpstr>CRD 24 11-2</vt:lpstr>
      <vt:lpstr>MRKU3244447</vt:lpstr>
      <vt:lpstr>MSKU0654460</vt:lpstr>
      <vt:lpstr>CMAU7035404</vt:lpstr>
      <vt:lpstr>MRKU4170138</vt:lpstr>
      <vt:lpstr>CAAU7083644</vt:lpstr>
      <vt:lpstr>MRKU4976524</vt:lpstr>
      <vt:lpstr>CAIU8294053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Polho</dc:creator>
  <cp:lastModifiedBy>Jose Polho</cp:lastModifiedBy>
  <dcterms:created xsi:type="dcterms:W3CDTF">2023-12-21T11:09:54Z</dcterms:created>
  <dcterms:modified xsi:type="dcterms:W3CDTF">2026-07-02T14:46:07Z</dcterms:modified>
</cp:coreProperties>
</file>